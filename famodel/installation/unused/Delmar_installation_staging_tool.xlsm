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ralkarem/Documents/projects/FADesign/fadesign/conceptual/Installation_staging/"/>
    </mc:Choice>
  </mc:AlternateContent>
  <xr:revisionPtr revIDLastSave="0" documentId="13_ncr:1_{266ED315-AF41-4444-A9CD-C40C6EB4EEA8}" xr6:coauthVersionLast="47" xr6:coauthVersionMax="47" xr10:uidLastSave="{00000000-0000-0000-0000-000000000000}"/>
  <bookViews>
    <workbookView xWindow="160" yWindow="920" windowWidth="14900" windowHeight="17460" activeTab="15" xr2:uid="{C08E7236-93F1-41C9-88BE-2AEA25F691DA}"/>
  </bookViews>
  <sheets>
    <sheet name="Main" sheetId="1" r:id="rId1"/>
    <sheet name="Check Different Lengths" sheetId="31" r:id="rId2"/>
    <sheet name="Staging" sheetId="11" r:id="rId3"/>
    <sheet name="Unit Cell Details" sheetId="5" state="hidden" r:id="rId4"/>
    <sheet name="Summary Cases" sheetId="8" state="hidden" r:id="rId5"/>
    <sheet name="Case Times" sheetId="30" state="hidden" r:id="rId6"/>
    <sheet name="Calculations" sheetId="9" state="hidden" r:id="rId7"/>
    <sheet name="DropDown Lists" sheetId="4" state="hidden" r:id="rId8"/>
    <sheet name="Case1 Preset with AHTS" sheetId="29" state="hidden" r:id="rId9"/>
    <sheet name="Case1 Preset with MSPV" sheetId="13" state="hidden" r:id="rId10"/>
    <sheet name="Case1 Preset Hybrid" sheetId="28" state="hidden" r:id="rId11"/>
    <sheet name="Case1 Connecting with AHTS" sheetId="6" state="hidden" r:id="rId12"/>
    <sheet name="Cost Estimation" sheetId="10" state="hidden" r:id="rId13"/>
    <sheet name="Case1 Connecting with MSPV" sheetId="12" state="hidden" r:id="rId14"/>
    <sheet name="Case1 Maintenance" sheetId="3" state="hidden" r:id="rId15"/>
    <sheet name="Case2 Preset with AHTS" sheetId="43" r:id="rId16"/>
    <sheet name="Case2 Preset with MSPV" sheetId="42" state="hidden" r:id="rId17"/>
    <sheet name="Case2 Preset Hybrid" sheetId="41" state="hidden" r:id="rId18"/>
    <sheet name="Case2 Connecting with AHTS" sheetId="40" r:id="rId19"/>
    <sheet name="Case2 Connecting with MSPV" sheetId="39" state="hidden" r:id="rId20"/>
    <sheet name="Case2 Maintenance" sheetId="20" state="hidden" r:id="rId21"/>
    <sheet name="Case3 Preset with AHTS" sheetId="48" state="hidden" r:id="rId22"/>
    <sheet name="Case3 Preset with MSPV" sheetId="47" state="hidden" r:id="rId23"/>
    <sheet name="Case3 Preset Hybrid" sheetId="46" state="hidden" r:id="rId24"/>
    <sheet name="Case3 Connecting AHTS Prelay" sheetId="45" state="hidden" r:id="rId25"/>
    <sheet name="Case3 Connecting MSPV Prelay" sheetId="44" state="hidden" r:id="rId26"/>
    <sheet name="Case3 Maintenance" sheetId="26" state="hidden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F7" i="31"/>
  <c r="Q17" i="30"/>
  <c r="B6" i="11"/>
  <c r="B19" i="11"/>
  <c r="R21" i="30"/>
  <c r="F7" i="44"/>
  <c r="F3" i="44"/>
  <c r="F7" i="45"/>
  <c r="F4" i="47"/>
  <c r="F8" i="47"/>
  <c r="F7" i="47"/>
  <c r="F5" i="47"/>
  <c r="L12" i="47"/>
  <c r="L5" i="47" s="1"/>
  <c r="L8" i="47" s="1"/>
  <c r="G19" i="47"/>
  <c r="F16" i="47"/>
  <c r="Q12" i="47"/>
  <c r="P12" i="47"/>
  <c r="K12" i="47"/>
  <c r="K5" i="47" s="1"/>
  <c r="K8" i="47" s="1"/>
  <c r="F12" i="47"/>
  <c r="F3" i="47"/>
  <c r="B3" i="47"/>
  <c r="Z18" i="48"/>
  <c r="Z20" i="48"/>
  <c r="Z22" i="48"/>
  <c r="Q19" i="48"/>
  <c r="Q20" i="48"/>
  <c r="G20" i="48"/>
  <c r="G21" i="48"/>
  <c r="G22" i="48"/>
  <c r="G23" i="48"/>
  <c r="G24" i="48"/>
  <c r="G19" i="48"/>
  <c r="U12" i="48"/>
  <c r="P12" i="48"/>
  <c r="K12" i="48"/>
  <c r="F12" i="48"/>
  <c r="Z16" i="48" s="1"/>
  <c r="B3" i="48"/>
  <c r="G25" i="31"/>
  <c r="T15" i="11"/>
  <c r="V56" i="5"/>
  <c r="V57" i="5" s="1"/>
  <c r="N56" i="5"/>
  <c r="N57" i="5" s="1"/>
  <c r="F57" i="5"/>
  <c r="B5" i="47" l="1"/>
  <c r="Z12" i="48"/>
  <c r="F3" i="48" s="1"/>
  <c r="F7" i="48" l="1"/>
  <c r="B6" i="48" s="1"/>
  <c r="E4" i="4" l="1"/>
  <c r="H24" i="30" l="1"/>
  <c r="F24" i="30"/>
  <c r="E24" i="30"/>
  <c r="G23" i="30"/>
  <c r="F23" i="30"/>
  <c r="E23" i="30"/>
  <c r="H21" i="30"/>
  <c r="F21" i="30"/>
  <c r="G20" i="30"/>
  <c r="E20" i="30"/>
  <c r="H18" i="30"/>
  <c r="F18" i="30"/>
  <c r="G17" i="30"/>
  <c r="E17" i="30"/>
  <c r="M24" i="30"/>
  <c r="L24" i="30"/>
  <c r="K24" i="30"/>
  <c r="J24" i="30"/>
  <c r="M23" i="30"/>
  <c r="L23" i="30"/>
  <c r="K23" i="30"/>
  <c r="J23" i="30"/>
  <c r="M22" i="30"/>
  <c r="L22" i="30"/>
  <c r="K22" i="30"/>
  <c r="J22" i="30"/>
  <c r="M21" i="30"/>
  <c r="L21" i="30"/>
  <c r="K21" i="30"/>
  <c r="J21" i="30"/>
  <c r="M20" i="30"/>
  <c r="L20" i="30"/>
  <c r="K20" i="30"/>
  <c r="J20" i="30"/>
  <c r="K18" i="30"/>
  <c r="L18" i="30"/>
  <c r="M18" i="30"/>
  <c r="K19" i="30"/>
  <c r="L19" i="30"/>
  <c r="M19" i="30"/>
  <c r="J19" i="30"/>
  <c r="J18" i="30"/>
  <c r="J17" i="30"/>
  <c r="K17" i="30"/>
  <c r="L17" i="30"/>
  <c r="M17" i="30"/>
  <c r="Z22" i="43"/>
  <c r="Z24" i="43"/>
  <c r="Z18" i="43"/>
  <c r="Z16" i="43"/>
  <c r="Z20" i="43"/>
  <c r="P12" i="46" l="1"/>
  <c r="L12" i="46"/>
  <c r="K12" i="46"/>
  <c r="G12" i="46"/>
  <c r="F12" i="46"/>
  <c r="B3" i="46"/>
  <c r="Q12" i="45"/>
  <c r="P12" i="45"/>
  <c r="L12" i="45"/>
  <c r="K12" i="45"/>
  <c r="F12" i="45"/>
  <c r="F3" i="45" s="1"/>
  <c r="B3" i="45"/>
  <c r="Q12" i="44"/>
  <c r="P12" i="44"/>
  <c r="L12" i="44"/>
  <c r="K12" i="44"/>
  <c r="G12" i="44"/>
  <c r="F12" i="44"/>
  <c r="B3" i="44"/>
  <c r="K12" i="43"/>
  <c r="F12" i="43"/>
  <c r="B3" i="43"/>
  <c r="F16" i="42"/>
  <c r="Q12" i="42"/>
  <c r="P12" i="42"/>
  <c r="K12" i="42"/>
  <c r="K5" i="42" s="1"/>
  <c r="K8" i="42" s="1"/>
  <c r="F12" i="42"/>
  <c r="F8" i="42"/>
  <c r="F7" i="42"/>
  <c r="F5" i="42"/>
  <c r="F4" i="42"/>
  <c r="F3" i="42"/>
  <c r="B3" i="42"/>
  <c r="P55" i="41"/>
  <c r="P51" i="41"/>
  <c r="P47" i="41"/>
  <c r="P12" i="41" s="1"/>
  <c r="P43" i="41"/>
  <c r="L12" i="41"/>
  <c r="K12" i="41"/>
  <c r="K5" i="41" s="1"/>
  <c r="K8" i="41" s="1"/>
  <c r="G12" i="41"/>
  <c r="F12" i="41"/>
  <c r="F7" i="41" s="1"/>
  <c r="B3" i="41"/>
  <c r="Q12" i="40"/>
  <c r="P12" i="40"/>
  <c r="L12" i="40"/>
  <c r="K12" i="40"/>
  <c r="G12" i="40"/>
  <c r="F12" i="40"/>
  <c r="F7" i="40"/>
  <c r="F3" i="40"/>
  <c r="B3" i="40"/>
  <c r="Q12" i="39"/>
  <c r="P12" i="39"/>
  <c r="L12" i="39"/>
  <c r="K12" i="39"/>
  <c r="G12" i="39"/>
  <c r="F12" i="39"/>
  <c r="F7" i="39"/>
  <c r="F3" i="39"/>
  <c r="B3" i="39"/>
  <c r="I3" i="31"/>
  <c r="I2" i="31"/>
  <c r="D56" i="5"/>
  <c r="E56" i="5" s="1"/>
  <c r="F56" i="5" s="1"/>
  <c r="B8" i="31"/>
  <c r="J12" i="4"/>
  <c r="J11" i="4"/>
  <c r="J10" i="4"/>
  <c r="J9" i="4"/>
  <c r="J8" i="4"/>
  <c r="J7" i="4"/>
  <c r="J6" i="4"/>
  <c r="J5" i="4"/>
  <c r="J4" i="4"/>
  <c r="J3" i="4"/>
  <c r="J10" i="11"/>
  <c r="G2" i="11"/>
  <c r="G8" i="4"/>
  <c r="G7" i="4"/>
  <c r="G4" i="4"/>
  <c r="G5" i="4"/>
  <c r="G6" i="4"/>
  <c r="G9" i="4"/>
  <c r="G10" i="4"/>
  <c r="G11" i="4"/>
  <c r="G12" i="4"/>
  <c r="G3" i="4"/>
  <c r="T46" i="5"/>
  <c r="T58" i="5" s="1"/>
  <c r="L46" i="5"/>
  <c r="L58" i="5" s="1"/>
  <c r="D46" i="5"/>
  <c r="T49" i="5"/>
  <c r="T54" i="5" s="1"/>
  <c r="L49" i="5"/>
  <c r="L54" i="5" s="1"/>
  <c r="N54" i="5" s="1"/>
  <c r="D49" i="5"/>
  <c r="D54" i="5" s="1"/>
  <c r="F54" i="5" s="1"/>
  <c r="T48" i="5"/>
  <c r="T53" i="5" s="1"/>
  <c r="T45" i="5"/>
  <c r="T56" i="5" s="1"/>
  <c r="L48" i="5"/>
  <c r="L53" i="5" s="1"/>
  <c r="N53" i="5" s="1"/>
  <c r="L45" i="5"/>
  <c r="L56" i="5" s="1"/>
  <c r="M56" i="5" s="1"/>
  <c r="O56" i="5" s="1"/>
  <c r="D48" i="5"/>
  <c r="D53" i="5" s="1"/>
  <c r="D45" i="5"/>
  <c r="U43" i="5"/>
  <c r="M43" i="5"/>
  <c r="Q12" i="13"/>
  <c r="Q12" i="6"/>
  <c r="Q12" i="12"/>
  <c r="L12" i="28"/>
  <c r="L12" i="6"/>
  <c r="L12" i="12"/>
  <c r="G12" i="28"/>
  <c r="G12" i="6"/>
  <c r="G12" i="12"/>
  <c r="V37" i="5"/>
  <c r="V36" i="5"/>
  <c r="N37" i="5"/>
  <c r="N36" i="5"/>
  <c r="E43" i="5"/>
  <c r="F12" i="29"/>
  <c r="P24" i="29" s="1"/>
  <c r="V24" i="5"/>
  <c r="N24" i="5"/>
  <c r="F24" i="5"/>
  <c r="S6" i="10"/>
  <c r="G22" i="10" s="1"/>
  <c r="S5" i="10"/>
  <c r="V32" i="5"/>
  <c r="N32" i="5"/>
  <c r="F32" i="5"/>
  <c r="R19" i="30"/>
  <c r="D3" i="30"/>
  <c r="E2" i="30"/>
  <c r="D2" i="30"/>
  <c r="C2" i="30"/>
  <c r="P55" i="28"/>
  <c r="P47" i="28"/>
  <c r="P51" i="28"/>
  <c r="P43" i="28"/>
  <c r="B3" i="28"/>
  <c r="B6" i="28" s="1"/>
  <c r="F19" i="30" s="1"/>
  <c r="B3" i="6"/>
  <c r="B3" i="12"/>
  <c r="B3" i="13"/>
  <c r="B5" i="13" s="1"/>
  <c r="E18" i="30" s="1"/>
  <c r="B3" i="29"/>
  <c r="B6" i="29" s="1"/>
  <c r="F17" i="30" s="1"/>
  <c r="P12" i="12"/>
  <c r="K12" i="12"/>
  <c r="F12" i="12"/>
  <c r="F7" i="12"/>
  <c r="F3" i="12"/>
  <c r="K12" i="6"/>
  <c r="F12" i="6"/>
  <c r="F7" i="6" s="1"/>
  <c r="B6" i="45" l="1"/>
  <c r="R22" i="30" s="1"/>
  <c r="S22" i="30" s="1"/>
  <c r="B6" i="44"/>
  <c r="R23" i="30" s="1"/>
  <c r="S23" i="30" s="1"/>
  <c r="C6" i="44"/>
  <c r="E6" i="10"/>
  <c r="H18" i="10" s="1"/>
  <c r="L8" i="10"/>
  <c r="J8" i="10"/>
  <c r="L3" i="10"/>
  <c r="J3" i="10"/>
  <c r="U58" i="5"/>
  <c r="V58" i="5" s="1"/>
  <c r="V59" i="5" s="1"/>
  <c r="J11" i="10"/>
  <c r="U56" i="5"/>
  <c r="J10" i="10"/>
  <c r="M23" i="31" s="1"/>
  <c r="V54" i="5"/>
  <c r="L5" i="10" s="1"/>
  <c r="J5" i="10"/>
  <c r="R18" i="10" s="1"/>
  <c r="O21" i="31" s="1"/>
  <c r="V53" i="5"/>
  <c r="L4" i="10" s="1"/>
  <c r="J4" i="10"/>
  <c r="B7" i="11" s="1"/>
  <c r="G56" i="5"/>
  <c r="M58" i="5"/>
  <c r="F53" i="5"/>
  <c r="M21" i="31"/>
  <c r="B6" i="40"/>
  <c r="B5" i="39"/>
  <c r="S21" i="30" s="1"/>
  <c r="Q12" i="46"/>
  <c r="B5" i="42"/>
  <c r="E21" i="30" s="1"/>
  <c r="F8" i="41"/>
  <c r="F4" i="41"/>
  <c r="F3" i="41"/>
  <c r="D58" i="5"/>
  <c r="E58" i="5" s="1"/>
  <c r="F58" i="5" s="1"/>
  <c r="C5" i="13"/>
  <c r="G18" i="30" s="1"/>
  <c r="B5" i="28"/>
  <c r="E19" i="30" s="1"/>
  <c r="E12" i="10"/>
  <c r="E10" i="10"/>
  <c r="K20" i="10" s="1"/>
  <c r="E11" i="10"/>
  <c r="J20" i="10" s="1"/>
  <c r="N45" i="5"/>
  <c r="N46" i="5" s="1"/>
  <c r="V45" i="5"/>
  <c r="V46" i="5" s="1"/>
  <c r="C5" i="28"/>
  <c r="G19" i="30" s="1"/>
  <c r="N48" i="5"/>
  <c r="N49" i="5" s="1"/>
  <c r="V48" i="5"/>
  <c r="V49" i="5" s="1"/>
  <c r="F48" i="5"/>
  <c r="F49" i="5" s="1"/>
  <c r="F45" i="5"/>
  <c r="F46" i="5" s="1"/>
  <c r="F3" i="6"/>
  <c r="P28" i="29"/>
  <c r="B5" i="12"/>
  <c r="S19" i="30" s="1"/>
  <c r="B6" i="6"/>
  <c r="G18" i="10"/>
  <c r="G23" i="10"/>
  <c r="G21" i="10"/>
  <c r="G19" i="10"/>
  <c r="E9" i="10"/>
  <c r="E1" i="10"/>
  <c r="H23" i="10" s="1"/>
  <c r="E3" i="10"/>
  <c r="E2" i="10"/>
  <c r="I23" i="10" s="1"/>
  <c r="E5" i="10"/>
  <c r="J18" i="10" s="1"/>
  <c r="G20" i="10"/>
  <c r="D4" i="30"/>
  <c r="H8" i="30" s="1"/>
  <c r="P22" i="29"/>
  <c r="P20" i="29"/>
  <c r="P16" i="29"/>
  <c r="F3" i="29"/>
  <c r="K12" i="29"/>
  <c r="F4" i="29" s="1"/>
  <c r="F12" i="28"/>
  <c r="P12" i="28"/>
  <c r="K12" i="28"/>
  <c r="K5" i="28" s="1"/>
  <c r="K8" i="28" s="1"/>
  <c r="P12" i="13"/>
  <c r="K12" i="13"/>
  <c r="K5" i="13" s="1"/>
  <c r="K8" i="13" s="1"/>
  <c r="F8" i="13"/>
  <c r="F5" i="13"/>
  <c r="F4" i="13"/>
  <c r="F7" i="13" s="1"/>
  <c r="F16" i="13"/>
  <c r="F3" i="13" s="1"/>
  <c r="V26" i="5"/>
  <c r="V29" i="5" s="1"/>
  <c r="N26" i="5"/>
  <c r="N29" i="5" s="1"/>
  <c r="F26" i="5"/>
  <c r="B8" i="1"/>
  <c r="F3" i="9"/>
  <c r="F37" i="5"/>
  <c r="F36" i="5"/>
  <c r="B10" i="9"/>
  <c r="D10" i="9" s="1"/>
  <c r="G18" i="45" l="1"/>
  <c r="L20" i="48"/>
  <c r="G17" i="45"/>
  <c r="G32" i="47"/>
  <c r="V19" i="48"/>
  <c r="Q18" i="48"/>
  <c r="G18" i="47"/>
  <c r="G17" i="47"/>
  <c r="Q17" i="48"/>
  <c r="Q12" i="48" s="1"/>
  <c r="AA20" i="48" s="1"/>
  <c r="L19" i="48"/>
  <c r="G17" i="48"/>
  <c r="G33" i="47"/>
  <c r="G34" i="47"/>
  <c r="G31" i="47"/>
  <c r="G18" i="48"/>
  <c r="G36" i="47"/>
  <c r="G30" i="47"/>
  <c r="G35" i="47"/>
  <c r="G33" i="45"/>
  <c r="G29" i="47"/>
  <c r="G26" i="45"/>
  <c r="V20" i="48"/>
  <c r="G31" i="45"/>
  <c r="G28" i="45"/>
  <c r="N4" i="10"/>
  <c r="N5" i="10"/>
  <c r="B15" i="11"/>
  <c r="R18" i="30"/>
  <c r="S18" i="30" s="1"/>
  <c r="K8" i="30" s="1"/>
  <c r="G23" i="1" s="1"/>
  <c r="N10" i="31" s="1"/>
  <c r="P10" i="31" s="1"/>
  <c r="R20" i="30"/>
  <c r="S20" i="30" s="1"/>
  <c r="G7" i="11"/>
  <c r="U15" i="11" s="1"/>
  <c r="G58" i="5"/>
  <c r="F59" i="5"/>
  <c r="N58" i="5"/>
  <c r="N59" i="5" s="1"/>
  <c r="R20" i="10"/>
  <c r="O23" i="31"/>
  <c r="H20" i="10"/>
  <c r="G6" i="11" s="1"/>
  <c r="W58" i="5"/>
  <c r="M11" i="10" s="1"/>
  <c r="L11" i="10"/>
  <c r="W56" i="5"/>
  <c r="M10" i="10" s="1"/>
  <c r="L10" i="10"/>
  <c r="E4" i="10"/>
  <c r="I18" i="10" s="1"/>
  <c r="M18" i="10" s="1"/>
  <c r="Q20" i="28"/>
  <c r="Q19" i="43"/>
  <c r="L23" i="43"/>
  <c r="V21" i="43"/>
  <c r="V19" i="43"/>
  <c r="G20" i="43"/>
  <c r="Q18" i="43"/>
  <c r="Q20" i="43"/>
  <c r="V20" i="43"/>
  <c r="Q17" i="43"/>
  <c r="V22" i="43"/>
  <c r="G32" i="42"/>
  <c r="G50" i="42"/>
  <c r="G17" i="42"/>
  <c r="Q20" i="41"/>
  <c r="G51" i="42"/>
  <c r="G18" i="42"/>
  <c r="Q19" i="41"/>
  <c r="Q18" i="41"/>
  <c r="G49" i="42"/>
  <c r="Q39" i="41"/>
  <c r="Q17" i="41"/>
  <c r="G48" i="42"/>
  <c r="L22" i="43"/>
  <c r="G47" i="42"/>
  <c r="Q38" i="41"/>
  <c r="G33" i="42"/>
  <c r="G46" i="42"/>
  <c r="Q37" i="41"/>
  <c r="G19" i="43"/>
  <c r="L21" i="43"/>
  <c r="Q36" i="41"/>
  <c r="G34" i="42"/>
  <c r="G36" i="42"/>
  <c r="L20" i="43"/>
  <c r="G37" i="42"/>
  <c r="G18" i="43"/>
  <c r="G35" i="42"/>
  <c r="G17" i="43"/>
  <c r="Q21" i="43"/>
  <c r="G27" i="43"/>
  <c r="Q23" i="43"/>
  <c r="Q24" i="43"/>
  <c r="Q26" i="43"/>
  <c r="Q28" i="43"/>
  <c r="G26" i="43"/>
  <c r="G28" i="43"/>
  <c r="Q22" i="43"/>
  <c r="Q27" i="43"/>
  <c r="Q25" i="43"/>
  <c r="Q21" i="41"/>
  <c r="G25" i="43"/>
  <c r="G24" i="43"/>
  <c r="G19" i="42"/>
  <c r="G23" i="43"/>
  <c r="Q28" i="41"/>
  <c r="Q24" i="41"/>
  <c r="L32" i="42"/>
  <c r="Q22" i="41"/>
  <c r="G22" i="43"/>
  <c r="L39" i="42"/>
  <c r="G21" i="43"/>
  <c r="G39" i="42"/>
  <c r="Q27" i="41"/>
  <c r="Q25" i="41"/>
  <c r="Q23" i="41"/>
  <c r="Q26" i="41"/>
  <c r="U12" i="43"/>
  <c r="Z26" i="43" s="1"/>
  <c r="Z12" i="43"/>
  <c r="F3" i="43" s="1"/>
  <c r="P12" i="43"/>
  <c r="C5" i="46"/>
  <c r="B5" i="46"/>
  <c r="C6" i="46"/>
  <c r="B6" i="46"/>
  <c r="C5" i="41"/>
  <c r="G22" i="30" s="1"/>
  <c r="B5" i="41"/>
  <c r="E22" i="30" s="1"/>
  <c r="B6" i="41"/>
  <c r="F22" i="30" s="1"/>
  <c r="S18" i="10"/>
  <c r="P18" i="10"/>
  <c r="B27" i="1" s="1"/>
  <c r="G5" i="11"/>
  <c r="K20" i="11" s="1"/>
  <c r="G36" i="13"/>
  <c r="G18" i="13"/>
  <c r="G17" i="13"/>
  <c r="Q17" i="28"/>
  <c r="Q19" i="28"/>
  <c r="Q18" i="28"/>
  <c r="L22" i="29"/>
  <c r="G33" i="13"/>
  <c r="G35" i="13"/>
  <c r="Q37" i="28"/>
  <c r="G50" i="13"/>
  <c r="L20" i="29"/>
  <c r="G37" i="13"/>
  <c r="G47" i="13"/>
  <c r="Q38" i="28"/>
  <c r="G48" i="13"/>
  <c r="Q36" i="28"/>
  <c r="Q39" i="28"/>
  <c r="G49" i="13"/>
  <c r="G51" i="13"/>
  <c r="L21" i="29"/>
  <c r="G46" i="13"/>
  <c r="G34" i="13"/>
  <c r="G20" i="29"/>
  <c r="G22" i="29"/>
  <c r="G23" i="29"/>
  <c r="G21" i="29"/>
  <c r="G25" i="29"/>
  <c r="Q22" i="28"/>
  <c r="L32" i="13"/>
  <c r="L39" i="13"/>
  <c r="G39" i="13"/>
  <c r="G19" i="13"/>
  <c r="Q27" i="28"/>
  <c r="Q28" i="28"/>
  <c r="Q23" i="28"/>
  <c r="Q25" i="28"/>
  <c r="Q24" i="28"/>
  <c r="Q21" i="28"/>
  <c r="G24" i="29"/>
  <c r="Q26" i="28"/>
  <c r="G32" i="13"/>
  <c r="F3" i="28"/>
  <c r="F7" i="28"/>
  <c r="P18" i="29"/>
  <c r="P26" i="29"/>
  <c r="P12" i="29" s="1"/>
  <c r="F5" i="29" s="1"/>
  <c r="P30" i="29"/>
  <c r="F4" i="28"/>
  <c r="F8" i="28"/>
  <c r="G18" i="29"/>
  <c r="G19" i="29"/>
  <c r="G17" i="29"/>
  <c r="G8" i="30"/>
  <c r="M23" i="10"/>
  <c r="T23" i="10" s="1"/>
  <c r="O16" i="31" s="1"/>
  <c r="F29" i="5"/>
  <c r="P12" i="6"/>
  <c r="F12" i="13"/>
  <c r="E10" i="9"/>
  <c r="C10" i="9"/>
  <c r="O11" i="10" l="1"/>
  <c r="O10" i="10"/>
  <c r="J17" i="11" s="1"/>
  <c r="P10" i="10"/>
  <c r="K17" i="11" s="1"/>
  <c r="G12" i="48"/>
  <c r="AA16" i="48" s="1"/>
  <c r="L12" i="48"/>
  <c r="AA18" i="48" s="1"/>
  <c r="G7" i="47"/>
  <c r="G4" i="47"/>
  <c r="G12" i="47"/>
  <c r="V12" i="48"/>
  <c r="AA22" i="48" s="1"/>
  <c r="G8" i="47"/>
  <c r="G5" i="47"/>
  <c r="G12" i="45"/>
  <c r="P11" i="10"/>
  <c r="P23" i="31" s="1"/>
  <c r="K15" i="11"/>
  <c r="N21" i="31" s="1"/>
  <c r="P21" i="31"/>
  <c r="N26" i="31"/>
  <c r="O58" i="5"/>
  <c r="T20" i="10"/>
  <c r="O15" i="31" s="1"/>
  <c r="T18" i="10"/>
  <c r="O14" i="31" s="1"/>
  <c r="M20" i="10"/>
  <c r="F28" i="1" s="1"/>
  <c r="P20" i="10"/>
  <c r="B28" i="1" s="1"/>
  <c r="S20" i="10"/>
  <c r="G4" i="42"/>
  <c r="Q12" i="43"/>
  <c r="AA24" i="43" s="1"/>
  <c r="L12" i="43"/>
  <c r="AA18" i="43" s="1"/>
  <c r="V12" i="43"/>
  <c r="AA26" i="43" s="1"/>
  <c r="Q51" i="41"/>
  <c r="Q43" i="41"/>
  <c r="G5" i="42"/>
  <c r="G8" i="42"/>
  <c r="Q55" i="41"/>
  <c r="Q47" i="41"/>
  <c r="G12" i="43"/>
  <c r="L12" i="42"/>
  <c r="L5" i="42" s="1"/>
  <c r="L8" i="42" s="1"/>
  <c r="G12" i="42"/>
  <c r="F7" i="43"/>
  <c r="B6" i="43"/>
  <c r="F20" i="30" s="1"/>
  <c r="G5" i="13"/>
  <c r="G8" i="13"/>
  <c r="G4" i="13"/>
  <c r="G7" i="13" s="1"/>
  <c r="M14" i="31"/>
  <c r="M16" i="31"/>
  <c r="I14" i="31"/>
  <c r="B29" i="1"/>
  <c r="I16" i="31"/>
  <c r="F27" i="1"/>
  <c r="F29" i="1"/>
  <c r="L12" i="13"/>
  <c r="L5" i="13" s="1"/>
  <c r="L8" i="13" s="1"/>
  <c r="Q55" i="28"/>
  <c r="Q47" i="28"/>
  <c r="Q51" i="28"/>
  <c r="G12" i="13"/>
  <c r="Q43" i="28"/>
  <c r="G12" i="29"/>
  <c r="G3" i="29" s="1"/>
  <c r="L12" i="29"/>
  <c r="F7" i="29"/>
  <c r="G9" i="30" l="1"/>
  <c r="G11" i="30" s="1"/>
  <c r="G20" i="1" s="1"/>
  <c r="G21" i="31"/>
  <c r="N23" i="31"/>
  <c r="AA12" i="48"/>
  <c r="G3" i="48" s="1"/>
  <c r="G7" i="48"/>
  <c r="C6" i="48"/>
  <c r="G7" i="45"/>
  <c r="G3" i="45"/>
  <c r="C6" i="45" s="1"/>
  <c r="G7" i="42"/>
  <c r="C5" i="42"/>
  <c r="G21" i="30" s="1"/>
  <c r="C5" i="47"/>
  <c r="G24" i="30" s="1"/>
  <c r="T24" i="10"/>
  <c r="O17" i="31" s="1"/>
  <c r="M24" i="10"/>
  <c r="F30" i="1" s="1"/>
  <c r="I15" i="31"/>
  <c r="M15" i="31"/>
  <c r="AA22" i="43"/>
  <c r="Q12" i="41"/>
  <c r="G8" i="41" s="1"/>
  <c r="AA20" i="43"/>
  <c r="AA16" i="43"/>
  <c r="Q12" i="28"/>
  <c r="Q20" i="29"/>
  <c r="Q28" i="29"/>
  <c r="Q16" i="29"/>
  <c r="Q24" i="29"/>
  <c r="Q22" i="29"/>
  <c r="G4" i="29"/>
  <c r="Q30" i="29"/>
  <c r="Q26" i="29"/>
  <c r="Q18" i="29"/>
  <c r="G12" i="30" l="1"/>
  <c r="G22" i="1" s="1"/>
  <c r="N9" i="31" s="1"/>
  <c r="I9" i="31" s="1"/>
  <c r="M17" i="31"/>
  <c r="G4" i="41"/>
  <c r="C6" i="41" s="1"/>
  <c r="H22" i="30" s="1"/>
  <c r="AA12" i="43"/>
  <c r="G3" i="43" s="1"/>
  <c r="G4" i="28"/>
  <c r="G8" i="28"/>
  <c r="N7" i="31"/>
  <c r="Q12" i="29"/>
  <c r="G5" i="29" s="1"/>
  <c r="G24" i="1" l="1"/>
  <c r="B22" i="1"/>
  <c r="G7" i="43"/>
  <c r="C6" i="43" s="1"/>
  <c r="H20" i="30" s="1"/>
  <c r="H23" i="30"/>
  <c r="C6" i="28"/>
  <c r="H19" i="30" s="1"/>
  <c r="G7" i="29"/>
  <c r="C6" i="29" s="1"/>
  <c r="N11" i="31"/>
  <c r="H17" i="30" l="1"/>
  <c r="H9" i="30" s="1"/>
  <c r="H11" i="30" s="1"/>
  <c r="P7" i="31" s="1"/>
  <c r="H12" i="30" l="1"/>
  <c r="P9" i="31" s="1"/>
  <c r="P11" i="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Billy Ballard</author>
  </authors>
  <commentList>
    <comment ref="G3" authorId="0" shapeId="0" xr:uid="{DAC2F292-1615-44E0-A647-FF6B604D1B7B}">
      <text>
        <r>
          <rPr>
            <b/>
            <sz val="9"/>
            <color indexed="81"/>
            <rFont val="Tahoma"/>
            <family val="2"/>
          </rPr>
          <t>Billy Ballard:</t>
        </r>
        <r>
          <rPr>
            <sz val="9"/>
            <color indexed="81"/>
            <rFont val="Tahoma"/>
            <family val="2"/>
          </rPr>
          <t xml:space="preserve">
update this to link to pull current data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<sst xmlns="http://schemas.openxmlformats.org/spreadsheetml/2006/main" count="1561" uniqueCount="385">
  <si>
    <t>Installation Steps</t>
  </si>
  <si>
    <t>Case 1</t>
  </si>
  <si>
    <t>Case 2 - Shared Anchors</t>
  </si>
  <si>
    <t>Case 3 - Shared Mooring Lines</t>
  </si>
  <si>
    <t>Case 2</t>
  </si>
  <si>
    <t>Case 3</t>
  </si>
  <si>
    <t>Lazy-Wave Cable</t>
  </si>
  <si>
    <t>Suspended Cable</t>
  </si>
  <si>
    <t>Case 1 - Independent Anchors</t>
  </si>
  <si>
    <t>Number of Unit Cells in Array</t>
  </si>
  <si>
    <t>Select Case Type of Unit Cell</t>
  </si>
  <si>
    <t>Heavy Lift</t>
  </si>
  <si>
    <t>Crane Vessel</t>
  </si>
  <si>
    <t>Tug/Barge Option</t>
  </si>
  <si>
    <t>Trip Back to Dock</t>
  </si>
  <si>
    <t>Trip to Wetstore Location</t>
  </si>
  <si>
    <t>Activity</t>
  </si>
  <si>
    <t>Duration</t>
  </si>
  <si>
    <t>(hr)</t>
  </si>
  <si>
    <t>Load Spooling unit for Polyester mooring lines</t>
  </si>
  <si>
    <t>Load first polyester line segment to storage reel</t>
  </si>
  <si>
    <t>Load second polyester line segment to storage reel</t>
  </si>
  <si>
    <t>Load third polyester line segment to storage reel</t>
  </si>
  <si>
    <t>Load 80m section 135mm chain</t>
  </si>
  <si>
    <t>Load suction pile</t>
  </si>
  <si>
    <t>Load connectors and mooring gear</t>
  </si>
  <si>
    <t xml:space="preserve">Safeafasten to depart </t>
  </si>
  <si>
    <t>Piles</t>
  </si>
  <si>
    <t>Suction Piles</t>
  </si>
  <si>
    <t>Polyester</t>
  </si>
  <si>
    <t xml:space="preserve">Install suction anchor </t>
  </si>
  <si>
    <t>Rerig deck for mooring line installation</t>
  </si>
  <si>
    <t>Install first mooring line and abandon</t>
  </si>
  <si>
    <t>Install second mooring line and abandon</t>
  </si>
  <si>
    <t>Install third mooring line and abandon</t>
  </si>
  <si>
    <t>Transit to Location</t>
  </si>
  <si>
    <t>AHTS Class</t>
  </si>
  <si>
    <t>hrs</t>
  </si>
  <si>
    <t>days</t>
  </si>
  <si>
    <t>Installation</t>
  </si>
  <si>
    <t>Crane</t>
  </si>
  <si>
    <t>Dressing</t>
  </si>
  <si>
    <t>Crane + Barge/Tug</t>
  </si>
  <si>
    <t>Connect</t>
  </si>
  <si>
    <t>AHTS</t>
  </si>
  <si>
    <t>AHTS "Dino" Class</t>
  </si>
  <si>
    <t>Hybrid High Volume</t>
  </si>
  <si>
    <t>Select Vessel Type for Connecting Lines to Hulls</t>
  </si>
  <si>
    <t>Presetting/Dressing</t>
  </si>
  <si>
    <t>Connecting</t>
  </si>
  <si>
    <t>AHTS "Dino"</t>
  </si>
  <si>
    <t>Case</t>
  </si>
  <si>
    <t>Suction Pile</t>
  </si>
  <si>
    <t>Chain</t>
  </si>
  <si>
    <t>Poly</t>
  </si>
  <si>
    <t>(m)</t>
  </si>
  <si>
    <t>(qty)</t>
  </si>
  <si>
    <t>(mm)</t>
  </si>
  <si>
    <t>Polyeseter</t>
  </si>
  <si>
    <t>Section Lengths</t>
  </si>
  <si>
    <t>Number of Sections</t>
  </si>
  <si>
    <t>Diameter</t>
  </si>
  <si>
    <t>Total Chain Length</t>
  </si>
  <si>
    <t>Total Polyester Length</t>
  </si>
  <si>
    <t>Total</t>
  </si>
  <si>
    <t>Mooring Cost Estimations</t>
  </si>
  <si>
    <t>USD/kg</t>
  </si>
  <si>
    <t>Six Stand Wire Rope with Sockets</t>
  </si>
  <si>
    <t>HMPE / Dyneema</t>
  </si>
  <si>
    <t>USD/m per MN MBL/MBS</t>
  </si>
  <si>
    <t>Drag Embeddment Anchor</t>
  </si>
  <si>
    <t>Suction Piles for Marine Clays</t>
  </si>
  <si>
    <t>USD/(kg of Ultimate Holding Capacity)</t>
  </si>
  <si>
    <t>Chain R4</t>
  </si>
  <si>
    <t>Select Vessel Type for Presetting/Dressing Suction Piles</t>
  </si>
  <si>
    <t>Pile Installation</t>
  </si>
  <si>
    <t>Staging/Mobilization</t>
  </si>
  <si>
    <t>Estimated Cost</t>
  </si>
  <si>
    <t>(kg/m)</t>
  </si>
  <si>
    <t>Weight for Studless</t>
  </si>
  <si>
    <t>(kg)</t>
  </si>
  <si>
    <t>(USD)</t>
  </si>
  <si>
    <t>Mobilize MPSV with RDS and hangoff porches</t>
  </si>
  <si>
    <t>Activity
Number</t>
  </si>
  <si>
    <t>Pile Barge / Tug Activity</t>
  </si>
  <si>
    <t>MPSV Activity</t>
  </si>
  <si>
    <t>Seafasten to depart</t>
  </si>
  <si>
    <t>Load 5 suction anchors to barge</t>
  </si>
  <si>
    <t>Seafasten barge deck</t>
  </si>
  <si>
    <t>Mooring Equipment Mobilization Duration for MPSV</t>
  </si>
  <si>
    <t>(day)</t>
  </si>
  <si>
    <t>MPSV transit to location</t>
  </si>
  <si>
    <t>Install Suction Pile 1</t>
  </si>
  <si>
    <t>Install Suction Pile 2</t>
  </si>
  <si>
    <t>MPSV lift pile from barge and install</t>
  </si>
  <si>
    <t>Barge transit to location</t>
  </si>
  <si>
    <t>Barge transit to Bay area mob facility</t>
  </si>
  <si>
    <t>Load 12 X 135mm chain sections to barge</t>
  </si>
  <si>
    <t>Pile transfer from Barge to MPSV</t>
  </si>
  <si>
    <t>MPSV install 1st mooring leg</t>
  </si>
  <si>
    <t>MPSV install 2nd mooring leg</t>
  </si>
  <si>
    <t>MPSV install 3rd mooring leg</t>
  </si>
  <si>
    <t>MPSV install 4th mooring leg</t>
  </si>
  <si>
    <t>MPSV install 5th mooring leg</t>
  </si>
  <si>
    <t>MPSV install 6th mooring leg</t>
  </si>
  <si>
    <t>MPSV load 12 X 135mm chain sections from barge</t>
  </si>
  <si>
    <t>MPSV install 7th mooring leg</t>
  </si>
  <si>
    <t>MPSV install 8th mooring leg</t>
  </si>
  <si>
    <t>MPSV install 9th mooring leg</t>
  </si>
  <si>
    <t>MPSV install 10th mooring leg</t>
  </si>
  <si>
    <t>MPSV install 11th mooring leg</t>
  </si>
  <si>
    <t>MPSV install 12th mooring leg</t>
  </si>
  <si>
    <t>Subtotal (hrs)</t>
  </si>
  <si>
    <t>MPSV transit to Bay Area</t>
  </si>
  <si>
    <t>Barge Transit / Demob to Bay Area</t>
  </si>
  <si>
    <t>Barge Transit to Location</t>
  </si>
  <si>
    <t>Barge Activity Duration</t>
  </si>
  <si>
    <t>MSPV Activity Summary</t>
  </si>
  <si>
    <t>MPSV Mooring Preset Installation In-field 1x Unit Cell</t>
  </si>
  <si>
    <t>MPSV Mooring Preset Installation In-field 2+ Unit Cell</t>
  </si>
  <si>
    <t>Additional Unit Cell Installation Activity Summary</t>
  </si>
  <si>
    <t>Pile Barge/Tug Activity Summary</t>
  </si>
  <si>
    <t>AHTS in flield and prepare for connecting hulls</t>
  </si>
  <si>
    <t>First mooring line conencted to hull #1</t>
  </si>
  <si>
    <t>Second mooring line conencted to hull #1</t>
  </si>
  <si>
    <t>Third mooring line conencted to hull #1</t>
  </si>
  <si>
    <t>Prepare for 2nd Hull</t>
  </si>
  <si>
    <t>First mooring line conencted to hull #2</t>
  </si>
  <si>
    <t>Second mooring line conencted to hull #2</t>
  </si>
  <si>
    <t>Third mooring line conencted to hull #2</t>
  </si>
  <si>
    <t>Prepare for 3rd Hull</t>
  </si>
  <si>
    <t>First mooring line conencted to hull #3</t>
  </si>
  <si>
    <t>Second mooring line conencted to hull #3</t>
  </si>
  <si>
    <t>Third mooring line conencted to hull #3</t>
  </si>
  <si>
    <t>Prepare for 4th Hull</t>
  </si>
  <si>
    <t>First mooring line conencted to hull #4</t>
  </si>
  <si>
    <t>Second mooring line conencted to hull #4</t>
  </si>
  <si>
    <t>Third mooring line conencted to hull #4</t>
  </si>
  <si>
    <t>AHTS demob to bay area</t>
  </si>
  <si>
    <t>Transit to location</t>
  </si>
  <si>
    <t>AHTS "Dino" Class Activity Summary</t>
  </si>
  <si>
    <t>New Length</t>
  </si>
  <si>
    <t>Mobilization Activity</t>
  </si>
  <si>
    <t>Transit to Bay Area Facility</t>
  </si>
  <si>
    <t>Preset Installation of 1x Hull of Unit Cell</t>
  </si>
  <si>
    <t>AHTS "Dino" Class Mobilization for 1x Hull of Unit Cell</t>
  </si>
  <si>
    <t>AHTS "Dino" Class Preset Installation for 1x Hull of Unit Cell</t>
  </si>
  <si>
    <t>AHTS "Dino" Class Activity for Unit Cell Preset Installation</t>
  </si>
  <si>
    <t>AHTS remains in-field for connection operations.</t>
  </si>
  <si>
    <t>Mobilization for 1x Hull</t>
  </si>
  <si>
    <t>Preset Installation for 1x Hull</t>
  </si>
  <si>
    <t>Total Mobilization/Installation of 1x Unit Cell</t>
  </si>
  <si>
    <t>Mooring Preset Installation 2+ Unit Cells</t>
  </si>
  <si>
    <t>Unit Cells</t>
  </si>
  <si>
    <t>MPSV Activity for Unit Cell Preset Installation</t>
  </si>
  <si>
    <t>Pile Barge / Tug Activity for Unit Cell Preset Installation</t>
  </si>
  <si>
    <t>AHTS Hookup/Connecting Activity for 1x Unit Cell</t>
  </si>
  <si>
    <t>AHTS Class Activity Summary</t>
  </si>
  <si>
    <t>Connect 4x Hulls in 1x Unit Cell to Preset Mooring Lines</t>
  </si>
  <si>
    <t>Connect 4x Hulls in 2+ Unit Cell to Preset Mooring Lines</t>
  </si>
  <si>
    <t>Return to Bay Area Facility to Demob</t>
  </si>
  <si>
    <t>MSPV Hookup/Connecting Activity for 1x Unit Cell</t>
  </si>
  <si>
    <t>Load 3 suction Piles on MPSV</t>
  </si>
  <si>
    <t>Seafasten for transit</t>
  </si>
  <si>
    <t>Install 1st suction pile</t>
  </si>
  <si>
    <t>Install 2nd suction pile</t>
  </si>
  <si>
    <t>Install 3rd suction pile</t>
  </si>
  <si>
    <t>MPSV receive 3 piles from barge</t>
  </si>
  <si>
    <t>Install 4th suction pile</t>
  </si>
  <si>
    <t>Install 5th suction pile</t>
  </si>
  <si>
    <t>Install 6th suction pile</t>
  </si>
  <si>
    <t>Install 7th suction pile</t>
  </si>
  <si>
    <t>Install 8th suction pile</t>
  </si>
  <si>
    <t>Install 9th suction pile</t>
  </si>
  <si>
    <t>Load 6 suction piles to barge</t>
  </si>
  <si>
    <t>Offload 3 piles to MPSV</t>
  </si>
  <si>
    <t>Second barge load 3 suction piles</t>
  </si>
  <si>
    <t>Barge transit to bay area mob site</t>
  </si>
  <si>
    <t>Second barge transit to location</t>
  </si>
  <si>
    <t>Second barge transit to bay area mob site</t>
  </si>
  <si>
    <t>Load fourth polyester line segment to storage reel</t>
  </si>
  <si>
    <t>AHTS transit to location</t>
  </si>
  <si>
    <t>Install fourth mooring line and abandon</t>
  </si>
  <si>
    <t>AHTS transit to Bay Area Facility</t>
  </si>
  <si>
    <t>AHTS Mobilization of 4x mooring lines</t>
  </si>
  <si>
    <t>AHTS Preset 4x mooring lines</t>
  </si>
  <si>
    <t>AHTS "Dino" Class Activity for 4x Hulls of 1x Unit Cell</t>
  </si>
  <si>
    <t>AHTS "Dino" Class Vessel Preset Mooring Line Components</t>
  </si>
  <si>
    <t>MSPV/Barge/AHTS Hybrid Activity Summary for 1x Unit Cell</t>
  </si>
  <si>
    <t>MSPV + Barge/Tug Installs of 12x Piles</t>
  </si>
  <si>
    <t>MSPV Installs 2+ Unit Cells</t>
  </si>
  <si>
    <t>AHTS "Dino" Class Vessel Continue Preset Components 2+</t>
  </si>
  <si>
    <t>Total Time for MSPV</t>
  </si>
  <si>
    <t>Total Time AHTS</t>
  </si>
  <si>
    <t>Hookup/Connecting Lines to Hull(s)</t>
  </si>
  <si>
    <t>MSPV</t>
  </si>
  <si>
    <t>Hookup</t>
  </si>
  <si>
    <t xml:space="preserve"> + Installation Suction Piles</t>
  </si>
  <si>
    <t>MSPV Installation/Preset Components</t>
  </si>
  <si>
    <t>On Main</t>
  </si>
  <si>
    <t>Summary of Total</t>
  </si>
  <si>
    <t>(Days)</t>
  </si>
  <si>
    <t>AHTS Installation/Preset Components</t>
  </si>
  <si>
    <t>Selection</t>
  </si>
  <si>
    <t>MBL</t>
  </si>
  <si>
    <t>(mT)</t>
  </si>
  <si>
    <t>(MN)</t>
  </si>
  <si>
    <t>(Unit Cells)</t>
  </si>
  <si>
    <t>Holding Capacity</t>
  </si>
  <si>
    <t>Number of Unit Cells</t>
  </si>
  <si>
    <t>Unit Cell Type</t>
  </si>
  <si>
    <t>SubTotal</t>
  </si>
  <si>
    <t>(m) or (qty)</t>
  </si>
  <si>
    <t>m</t>
  </si>
  <si>
    <t>min</t>
  </si>
  <si>
    <t>Additional</t>
  </si>
  <si>
    <t>Chain Length Time Scaling</t>
  </si>
  <si>
    <t>Polyester Length Time Scaling</t>
  </si>
  <si>
    <t>Current Length</t>
  </si>
  <si>
    <t>Winch Speed</t>
  </si>
  <si>
    <t>m/min</t>
  </si>
  <si>
    <t>Additional Time for Changing Poly/Chain Length (What If Tab)</t>
  </si>
  <si>
    <t>Changes</t>
  </si>
  <si>
    <t>Design</t>
  </si>
  <si>
    <t>Staging Piles</t>
  </si>
  <si>
    <t>What If Tab</t>
  </si>
  <si>
    <t>Hookup/Connection</t>
  </si>
  <si>
    <t>Current Lengths</t>
  </si>
  <si>
    <t>Adjusted Lengths</t>
  </si>
  <si>
    <t>(If left blank uses Base Length)</t>
  </si>
  <si>
    <t>Dia (ft)</t>
  </si>
  <si>
    <t>Len (ft)</t>
  </si>
  <si>
    <t>Note 5' clearance on all sides</t>
  </si>
  <si>
    <t>Select Suction Pile Type</t>
  </si>
  <si>
    <t>Case Selected from Main Menu:</t>
  </si>
  <si>
    <t>Chain Storage</t>
  </si>
  <si>
    <t>Dia (mm)</t>
  </si>
  <si>
    <t>100m</t>
  </si>
  <si>
    <t>200m</t>
  </si>
  <si>
    <t>300m</t>
  </si>
  <si>
    <t>Area (m^2)</t>
  </si>
  <si>
    <r>
      <t>(m</t>
    </r>
    <r>
      <rPr>
        <b/>
        <i/>
        <vertAlign val="superscript"/>
        <sz val="11"/>
        <color theme="1"/>
        <rFont val="Aptos Narrow"/>
        <family val="2"/>
        <scheme val="minor"/>
      </rPr>
      <t>2</t>
    </r>
    <r>
      <rPr>
        <b/>
        <i/>
        <sz val="11"/>
        <color theme="1"/>
        <rFont val="Aptos Narrow"/>
        <family val="2"/>
        <scheme val="minor"/>
      </rPr>
      <t>)</t>
    </r>
  </si>
  <si>
    <t>Each Suction Pile Storage Area Required</t>
  </si>
  <si>
    <t>Len (m)</t>
  </si>
  <si>
    <t>100-mm</t>
  </si>
  <si>
    <t>107-mm</t>
  </si>
  <si>
    <t>120-mm</t>
  </si>
  <si>
    <t>127-mm</t>
  </si>
  <si>
    <t>135-mm</t>
  </si>
  <si>
    <t>175-mm</t>
  </si>
  <si>
    <t>Select Chain Diameter</t>
  </si>
  <si>
    <t>Select Chain Length</t>
  </si>
  <si>
    <t>100-m</t>
  </si>
  <si>
    <t>200-m</t>
  </si>
  <si>
    <t>300-m</t>
  </si>
  <si>
    <t>Estimated Area for Suction Piles</t>
  </si>
  <si>
    <t>Estimated Area for Reels of 200-mm Polyester</t>
  </si>
  <si>
    <t>Current</t>
  </si>
  <si>
    <t>New</t>
  </si>
  <si>
    <t>Storage Area for 200-mm Poly</t>
  </si>
  <si>
    <t>Storage Area for 135-mm Chain</t>
  </si>
  <si>
    <t>m^2</t>
  </si>
  <si>
    <t>has:</t>
  </si>
  <si>
    <t>Includes 5-ft clearance zone about each Pile</t>
  </si>
  <si>
    <t>Pile heights ~1.5-m Tall</t>
  </si>
  <si>
    <t>Facility Notes:</t>
  </si>
  <si>
    <t>Mobilization assumes facility has fork lifts, cranes, etc available.</t>
  </si>
  <si>
    <t>Quantity of Equipment per Unit Cell &amp; Case Selected</t>
  </si>
  <si>
    <t>AHTS "Dino" Class Mobilization Type 1 for 1x Hull of Unit Cell</t>
  </si>
  <si>
    <t>Type 1</t>
  </si>
  <si>
    <t>Type 2</t>
  </si>
  <si>
    <t>Mobilization Activity Type 1</t>
  </si>
  <si>
    <t>Preset Installation of 3x Suction Piles &amp; 4x Mooring Lines</t>
  </si>
  <si>
    <t>Mobilization Activity Type 2</t>
  </si>
  <si>
    <t>Preset Installation of 2x Suction Piles &amp; 4x Mooring Lines</t>
  </si>
  <si>
    <t>Spool 6 X 200mm Polyester rope sections to Reel Drive Reel 1</t>
  </si>
  <si>
    <t>Spool 6 X 200mm Polyester rope sections to Reel Drive Reel 2</t>
  </si>
  <si>
    <t>Load 12 X 135mm chain sections to MPSV</t>
  </si>
  <si>
    <t>Load 2 suction piles to MPSV</t>
  </si>
  <si>
    <t>12 X 135mm chain sections transferred from Barge to MPSV</t>
  </si>
  <si>
    <t>Load 2 X Suction piles to MPSV</t>
  </si>
  <si>
    <t>Load 2 suction Piles on MPSV</t>
  </si>
  <si>
    <t>Offload 3rd pile to MPSV</t>
  </si>
  <si>
    <t>Offload 4th pile to MPSV</t>
  </si>
  <si>
    <t>Offload 5th pile to MPSV</t>
  </si>
  <si>
    <t>Offload 6th pile to MPSV</t>
  </si>
  <si>
    <t>Offload 7th pile to MPSV</t>
  </si>
  <si>
    <t>Offload 8th pile to MPSV</t>
  </si>
  <si>
    <t>MPSV lift pile 3 from barge and install</t>
  </si>
  <si>
    <t>MPSV lift pile 4 from barge and install</t>
  </si>
  <si>
    <t>MPSV lift pile 5 from barge and install</t>
  </si>
  <si>
    <t>MPSV lift pile 6 from barge and install</t>
  </si>
  <si>
    <t>MPSV lift pile 7 from barge and install</t>
  </si>
  <si>
    <t>MPSV lift pile 8 from barge and install</t>
  </si>
  <si>
    <t>B5</t>
  </si>
  <si>
    <t>B6</t>
  </si>
  <si>
    <t>C5</t>
  </si>
  <si>
    <t>C6</t>
  </si>
  <si>
    <t>MSPV Vessel + Barge/Tug</t>
  </si>
  <si>
    <t>Each Reel holds up to 735-m of 200-mm Polyester,</t>
  </si>
  <si>
    <t>QTY</t>
  </si>
  <si>
    <t># of Reels</t>
  </si>
  <si>
    <t>Reel Area</t>
  </si>
  <si>
    <t>Pile Area</t>
  </si>
  <si>
    <t>Reels Area for Line</t>
  </si>
  <si>
    <t>(m^2)</t>
  </si>
  <si>
    <t>Summary of Storage Areas Required for
Unit Cell Type Selected</t>
  </si>
  <si>
    <t>Total Area</t>
  </si>
  <si>
    <t>Each</t>
  </si>
  <si>
    <t>Areas for Different Chain Diameters and Lengths</t>
  </si>
  <si>
    <t>Preset Installation of 2x Suction Piles &amp; 2x Mooring Lines</t>
  </si>
  <si>
    <t>Load 2 suction anchors to barge</t>
  </si>
  <si>
    <t>Load 4 clump weight assemblies</t>
  </si>
  <si>
    <t>MPSV load 4 clump assemblies from barge</t>
  </si>
  <si>
    <t xml:space="preserve">MPSV prelay 2 polyester segments with clump section between hulls #1 and #2 locations </t>
  </si>
  <si>
    <t xml:space="preserve">MPSV prelay 2 polyester segments with clump section between hulls #2 and #3 locations </t>
  </si>
  <si>
    <t xml:space="preserve">MPSV prelay 2 polyester segments with clump section between hulls #3 and #4 locations </t>
  </si>
  <si>
    <t xml:space="preserve">MPSV prelay 2 polyester segments with clump section between hulls #1 and #4 locations </t>
  </si>
  <si>
    <t>4x clump assemblies transfer from Barge to MPSV</t>
  </si>
  <si>
    <t>Notes:</t>
  </si>
  <si>
    <t>- 3x AHTS 160-180-mT bollard pull vessels to connect mooring lines.</t>
  </si>
  <si>
    <t>- 1x Tug 75-mT bollard pull in-field to assist in stationkeeping.</t>
  </si>
  <si>
    <t>- 2x Tug 75-mT bollard pull per hull to tow hulls to field</t>
  </si>
  <si>
    <t>- 250-mT Crane
- RDS reel system - Two reel systems with track towers.</t>
  </si>
  <si>
    <t>- Hangoff platforms for chain and polyester rope.</t>
  </si>
  <si>
    <t>- MPSV supported by Barge and tugs for pile transport offshore.</t>
  </si>
  <si>
    <t>ECO "Dino" class vessel</t>
  </si>
  <si>
    <t>Mobilize AHTS vessels</t>
  </si>
  <si>
    <t>2x AHTS load: 2x polyester lines and 1x clump assembly</t>
  </si>
  <si>
    <t>1x AHTS load: 4x polyester lines and 2x clump assemblies</t>
  </si>
  <si>
    <t>3x AHTS vessels transit to location</t>
  </si>
  <si>
    <t>3x AHTS and 1x in-field tug prepare for connecting hulls</t>
  </si>
  <si>
    <t>First mooring line connected to Hull #1 by AHTS 1</t>
  </si>
  <si>
    <t>AHTS 2 Connect polyester line to second mooring line of Hull #1</t>
  </si>
  <si>
    <t>In-field Tug and AHTS 2 hold Hull #1 in place</t>
  </si>
  <si>
    <t xml:space="preserve">AHTS 1 connect first mooring line of Hull #2 </t>
  </si>
  <si>
    <t>AHTS 3 connect polyester segment to Hull #2 towards Hull #1</t>
  </si>
  <si>
    <t xml:space="preserve">AHTS 3 passes polyester segment of Hull #2 to AHTS 2 </t>
  </si>
  <si>
    <t xml:space="preserve">AHTS 1 connect first mooring line of Hull #3 </t>
  </si>
  <si>
    <t xml:space="preserve">AHTS 2 connect polyester segment of Hull #3 towrds Hull #2 </t>
  </si>
  <si>
    <t>AHTS 2 passes polyester segment of Hull #3 to AHTS 3</t>
  </si>
  <si>
    <t>AHTS 1 connect first mooring line of Hull #4</t>
  </si>
  <si>
    <t>AHTS 2 connects polyester segment to Hull #4</t>
  </si>
  <si>
    <t>AHTS 2 passes polyester segment of Hull #4 to AHTS 3</t>
  </si>
  <si>
    <t>AHTS 1 tensions mooring lines on Hull #1</t>
  </si>
  <si>
    <t>AHTS 3 tensions mooring lines on Hull #3</t>
  </si>
  <si>
    <t>AHTS 2 tensions mooring lines on Hull #2</t>
  </si>
  <si>
    <t>AHTS 1 tensions mooring lines on Hull #4</t>
  </si>
  <si>
    <t>AHTS 2 connect polyester segments of Hull 1 and 2 and add</t>
  </si>
  <si>
    <t>clump weight segment</t>
  </si>
  <si>
    <t>AHTS 3 connects polyester segments of Hull #2 and #3 and add</t>
  </si>
  <si>
    <t>AHTS 3 receives top chain of Hull #1 from in-field tug and</t>
  </si>
  <si>
    <t>connects polyester segment</t>
  </si>
  <si>
    <t>add clump weight segment</t>
  </si>
  <si>
    <t>AHTS 3 connects polyester segments of Hull #4 and Hull #1 and</t>
  </si>
  <si>
    <t>3x AHTS vessels transit to Bay Area</t>
  </si>
  <si>
    <t xml:space="preserve">AHTS 2 connect polyester segments of Hull 1 towards Hull #2 </t>
  </si>
  <si>
    <t xml:space="preserve">AHTS 1 connects polyester segments of Hull #2 towards Hull #3 </t>
  </si>
  <si>
    <t>AHTS 2 connect first mooring line of Hull #4</t>
  </si>
  <si>
    <t xml:space="preserve">AHTS 2 passes polyester segment of Hull #4 to AHTS 1 </t>
  </si>
  <si>
    <t xml:space="preserve">AHTS 1 connects polyester segments of Hull #4 and Hull #3 </t>
  </si>
  <si>
    <t xml:space="preserve">AHTS 2 passes polyester segment to AHTS 1 </t>
  </si>
  <si>
    <t xml:space="preserve">AHTS 1 connects polyester segments of Hull #4 and Hull #1 </t>
  </si>
  <si>
    <t>towards Hull #1</t>
  </si>
  <si>
    <t>AHTS 3 recovers and connects polyester segment to Hull #2</t>
  </si>
  <si>
    <t xml:space="preserve">towards Hull #2 to AHTS 2 </t>
  </si>
  <si>
    <t>AHTS 3 recovers and passes polyester segment on seafloor</t>
  </si>
  <si>
    <t>towards Hull #3</t>
  </si>
  <si>
    <t>towards AHTS 1</t>
  </si>
  <si>
    <t>AHTS 2 recovers and passes polyester segment towards Hull #3</t>
  </si>
  <si>
    <t xml:space="preserve"> towards Hull #4</t>
  </si>
  <si>
    <t>AHTS 3 recovers and connects polyester segment to Hull #3</t>
  </si>
  <si>
    <t>to AHTS 2</t>
  </si>
  <si>
    <t>AHTS 1 recovers polyester section towards hull #4 and passes</t>
  </si>
  <si>
    <t>to AHTS 2 and connection made to Hull #4</t>
  </si>
  <si>
    <t>AHTS 3 passes polyester segment towards  Hull #4 from Hull #1</t>
  </si>
  <si>
    <t>AHTS 2 recovers polyester segment towards  Hull #4 from</t>
  </si>
  <si>
    <t>Hull #1</t>
  </si>
  <si>
    <t>Return to Bay Area Facility to additional mobilization</t>
  </si>
  <si>
    <t>MSPV Prelay</t>
  </si>
  <si>
    <t>AHTS Prelay</t>
  </si>
  <si>
    <t>Revision:</t>
  </si>
  <si>
    <t>Number of Unit Cells in Array from Main</t>
  </si>
  <si>
    <t>Note: Compares Length of Polyester/Chain sections and Estimated Storage Area of selected Unit Cell</t>
  </si>
  <si>
    <t>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</si>
</sst>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"/>
  </numFmts>
  <fonts count="15" x14ac:knownFonts="1">
    <font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  <font>
      <sz val="11"/>
      <color theme="4" tint="0.59999389629810485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vertAlign val="superscript"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ptos Narrow"/>
      <family val="2"/>
      <scheme val="minor"/>
    </font>
    <font>
      <b/>
      <i/>
      <sz val="9"/>
      <color theme="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8"/>
      <color rgb="FF000000"/>
      <name val="Segoe UI"/>
      <charset val="1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gradientFill>
        <stop position="0">
          <color theme="0" tint="-0.34900967436750391"/>
        </stop>
        <stop position="1">
          <color theme="0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E28E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83CCEB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63">
    <xf numFmtId="0" fontId="0" fillId="0" borderId="0" xfId="0"/>
    <xf numFmtId="0" fontId="0" fillId="2" borderId="0" xfId="0" applyFill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/>
    <xf numFmtId="0" fontId="0" fillId="4" borderId="6" xfId="0" applyFill="1" applyBorder="1"/>
    <xf numFmtId="0" fontId="0" fillId="4" borderId="7" xfId="0" applyFill="1" applyBorder="1"/>
    <xf numFmtId="0" fontId="1" fillId="3" borderId="9" xfId="0" applyFont="1" applyFill="1" applyBorder="1"/>
    <xf numFmtId="0" fontId="1" fillId="3" borderId="11" xfId="0" applyFont="1" applyFill="1" applyBorder="1"/>
    <xf numFmtId="0" fontId="1" fillId="3" borderId="12" xfId="0" applyFont="1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1" fillId="3" borderId="16" xfId="0" applyFont="1" applyFill="1" applyBorder="1"/>
    <xf numFmtId="0" fontId="0" fillId="4" borderId="18" xfId="0" applyFill="1" applyBorder="1"/>
    <xf numFmtId="0" fontId="0" fillId="4" borderId="17" xfId="0" applyFill="1" applyBorder="1"/>
    <xf numFmtId="0" fontId="0" fillId="4" borderId="19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/>
    </xf>
    <xf numFmtId="0" fontId="0" fillId="3" borderId="24" xfId="0" applyFill="1" applyBorder="1"/>
    <xf numFmtId="0" fontId="0" fillId="3" borderId="23" xfId="0" applyFill="1" applyBorder="1"/>
    <xf numFmtId="0" fontId="0" fillId="3" borderId="25" xfId="0" applyFill="1" applyBorder="1"/>
    <xf numFmtId="0" fontId="0" fillId="3" borderId="1" xfId="0" applyFill="1" applyBorder="1"/>
    <xf numFmtId="0" fontId="0" fillId="3" borderId="26" xfId="0" applyFill="1" applyBorder="1"/>
    <xf numFmtId="0" fontId="1" fillId="4" borderId="0" xfId="0" applyFont="1" applyFill="1" applyAlignment="1">
      <alignment horizontal="center" vertical="center"/>
    </xf>
    <xf numFmtId="0" fontId="1" fillId="4" borderId="28" xfId="0" applyFont="1" applyFill="1" applyBorder="1"/>
    <xf numFmtId="0" fontId="1" fillId="4" borderId="29" xfId="0" applyFon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22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 vertical="center"/>
    </xf>
    <xf numFmtId="0" fontId="4" fillId="7" borderId="26" xfId="0" applyFont="1" applyFill="1" applyBorder="1" applyAlignment="1">
      <alignment horizontal="center"/>
    </xf>
    <xf numFmtId="0" fontId="1" fillId="8" borderId="28" xfId="0" applyFont="1" applyFill="1" applyBorder="1"/>
    <xf numFmtId="0" fontId="1" fillId="8" borderId="29" xfId="0" applyFont="1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/>
    <xf numFmtId="0" fontId="1" fillId="0" borderId="0" xfId="0" applyFont="1"/>
    <xf numFmtId="0" fontId="6" fillId="2" borderId="0" xfId="0" applyFont="1" applyFill="1"/>
    <xf numFmtId="0" fontId="1" fillId="12" borderId="0" xfId="0" applyFont="1" applyFill="1" applyAlignment="1">
      <alignment horizontal="center" vertical="center"/>
    </xf>
    <xf numFmtId="0" fontId="1" fillId="12" borderId="0" xfId="0" applyFont="1" applyFill="1"/>
    <xf numFmtId="0" fontId="1" fillId="3" borderId="0" xfId="0" applyFont="1" applyFill="1" applyAlignment="1">
      <alignment horizontal="left" vertical="center"/>
    </xf>
    <xf numFmtId="44" fontId="0" fillId="3" borderId="0" xfId="1" applyFont="1" applyFill="1" applyAlignment="1">
      <alignment horizontal="center" vertical="center"/>
    </xf>
    <xf numFmtId="44" fontId="0" fillId="3" borderId="0" xfId="1" applyFont="1" applyFill="1"/>
    <xf numFmtId="0" fontId="1" fillId="3" borderId="0" xfId="0" applyFont="1" applyFill="1" applyAlignment="1">
      <alignment horizontal="left"/>
    </xf>
    <xf numFmtId="0" fontId="0" fillId="7" borderId="21" xfId="0" applyFill="1" applyBorder="1"/>
    <xf numFmtId="0" fontId="0" fillId="3" borderId="21" xfId="0" applyFill="1" applyBorder="1"/>
    <xf numFmtId="0" fontId="0" fillId="3" borderId="22" xfId="0" applyFill="1" applyBorder="1"/>
    <xf numFmtId="0" fontId="0" fillId="7" borderId="1" xfId="0" applyFill="1" applyBorder="1"/>
    <xf numFmtId="0" fontId="0" fillId="3" borderId="30" xfId="0" applyFill="1" applyBorder="1"/>
    <xf numFmtId="44" fontId="0" fillId="0" borderId="0" xfId="0" applyNumberFormat="1"/>
    <xf numFmtId="164" fontId="0" fillId="3" borderId="0" xfId="0" applyNumberFormat="1" applyFill="1"/>
    <xf numFmtId="44" fontId="0" fillId="3" borderId="0" xfId="0" applyNumberFormat="1" applyFill="1"/>
    <xf numFmtId="164" fontId="0" fillId="3" borderId="24" xfId="0" applyNumberFormat="1" applyFill="1" applyBorder="1" applyAlignment="1">
      <alignment horizontal="center"/>
    </xf>
    <xf numFmtId="164" fontId="0" fillId="3" borderId="0" xfId="0" applyNumberFormat="1" applyFill="1" applyAlignment="1">
      <alignment horizontal="center" vertical="center"/>
    </xf>
    <xf numFmtId="0" fontId="0" fillId="3" borderId="20" xfId="0" applyFill="1" applyBorder="1"/>
    <xf numFmtId="164" fontId="0" fillId="3" borderId="22" xfId="0" applyNumberFormat="1" applyFill="1" applyBorder="1" applyAlignment="1">
      <alignment horizontal="center"/>
    </xf>
    <xf numFmtId="164" fontId="0" fillId="3" borderId="26" xfId="0" applyNumberFormat="1" applyFill="1" applyBorder="1" applyAlignment="1">
      <alignment horizontal="center"/>
    </xf>
    <xf numFmtId="0" fontId="1" fillId="7" borderId="28" xfId="0" applyFont="1" applyFill="1" applyBorder="1"/>
    <xf numFmtId="0" fontId="1" fillId="7" borderId="30" xfId="0" applyFont="1" applyFill="1" applyBorder="1" applyAlignment="1">
      <alignment horizontal="center"/>
    </xf>
    <xf numFmtId="0" fontId="0" fillId="3" borderId="28" xfId="0" applyFill="1" applyBorder="1" applyAlignment="1">
      <alignment horizontal="left"/>
    </xf>
    <xf numFmtId="164" fontId="0" fillId="3" borderId="30" xfId="0" applyNumberFormat="1" applyFill="1" applyBorder="1" applyAlignment="1">
      <alignment horizontal="center" vertical="center"/>
    </xf>
    <xf numFmtId="0" fontId="1" fillId="6" borderId="28" xfId="0" applyFont="1" applyFill="1" applyBorder="1"/>
    <xf numFmtId="0" fontId="1" fillId="6" borderId="29" xfId="0" applyFont="1" applyFill="1" applyBorder="1"/>
    <xf numFmtId="0" fontId="1" fillId="6" borderId="30" xfId="0" applyFont="1" applyFill="1" applyBorder="1"/>
    <xf numFmtId="0" fontId="0" fillId="8" borderId="29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10" borderId="0" xfId="0" applyFill="1"/>
    <xf numFmtId="0" fontId="1" fillId="2" borderId="1" xfId="0" applyFont="1" applyFill="1" applyBorder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164" fontId="0" fillId="10" borderId="0" xfId="0" applyNumberFormat="1" applyFill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0" fontId="0" fillId="7" borderId="23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7" borderId="20" xfId="0" applyFill="1" applyBorder="1"/>
    <xf numFmtId="0" fontId="0" fillId="7" borderId="0" xfId="0" applyFill="1" applyAlignment="1">
      <alignment vertical="center"/>
    </xf>
    <xf numFmtId="44" fontId="0" fillId="8" borderId="0" xfId="0" applyNumberFormat="1" applyFill="1"/>
    <xf numFmtId="0" fontId="0" fillId="10" borderId="1" xfId="0" applyFill="1" applyBorder="1"/>
    <xf numFmtId="0" fontId="0" fillId="10" borderId="21" xfId="0" applyFill="1" applyBorder="1"/>
    <xf numFmtId="164" fontId="1" fillId="14" borderId="29" xfId="0" applyNumberFormat="1" applyFont="1" applyFill="1" applyBorder="1" applyAlignment="1">
      <alignment horizontal="center" vertical="center"/>
    </xf>
    <xf numFmtId="0" fontId="1" fillId="14" borderId="29" xfId="0" applyFont="1" applyFill="1" applyBorder="1"/>
    <xf numFmtId="164" fontId="0" fillId="4" borderId="30" xfId="0" applyNumberFormat="1" applyFill="1" applyBorder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4" fontId="0" fillId="3" borderId="27" xfId="0" applyNumberFormat="1" applyFill="1" applyBorder="1" applyAlignment="1">
      <alignment horizontal="center"/>
    </xf>
    <xf numFmtId="164" fontId="0" fillId="3" borderId="33" xfId="0" applyNumberFormat="1" applyFill="1" applyBorder="1" applyAlignment="1">
      <alignment horizontal="center"/>
    </xf>
    <xf numFmtId="0" fontId="0" fillId="13" borderId="27" xfId="0" applyFill="1" applyBorder="1" applyAlignment="1">
      <alignment horizontal="center" vertical="center"/>
    </xf>
    <xf numFmtId="0" fontId="1" fillId="7" borderId="29" xfId="0" applyFont="1" applyFill="1" applyBorder="1"/>
    <xf numFmtId="0" fontId="0" fillId="3" borderId="0" xfId="0" applyFill="1" applyAlignment="1">
      <alignment horizontal="left" indent="1"/>
    </xf>
    <xf numFmtId="164" fontId="0" fillId="3" borderId="25" xfId="0" applyNumberFormat="1" applyFill="1" applyBorder="1" applyAlignment="1">
      <alignment horizontal="center" vertical="center"/>
    </xf>
    <xf numFmtId="0" fontId="0" fillId="3" borderId="35" xfId="0" applyFill="1" applyBorder="1"/>
    <xf numFmtId="164" fontId="0" fillId="3" borderId="35" xfId="0" applyNumberFormat="1" applyFill="1" applyBorder="1" applyAlignment="1">
      <alignment horizontal="center" vertical="center"/>
    </xf>
    <xf numFmtId="0" fontId="0" fillId="3" borderId="37" xfId="0" applyFill="1" applyBorder="1"/>
    <xf numFmtId="0" fontId="0" fillId="3" borderId="36" xfId="0" applyFill="1" applyBorder="1"/>
    <xf numFmtId="164" fontId="0" fillId="3" borderId="38" xfId="0" applyNumberFormat="1" applyFill="1" applyBorder="1" applyAlignment="1">
      <alignment horizontal="center" vertical="center"/>
    </xf>
    <xf numFmtId="164" fontId="0" fillId="3" borderId="39" xfId="0" applyNumberFormat="1" applyFill="1" applyBorder="1" applyAlignment="1">
      <alignment horizontal="center" vertical="center"/>
    </xf>
    <xf numFmtId="0" fontId="0" fillId="3" borderId="40" xfId="0" applyFill="1" applyBorder="1"/>
    <xf numFmtId="0" fontId="0" fillId="3" borderId="34" xfId="0" applyFill="1" applyBorder="1" applyAlignment="1">
      <alignment horizontal="center" vertical="center"/>
    </xf>
    <xf numFmtId="164" fontId="0" fillId="3" borderId="41" xfId="0" applyNumberFormat="1" applyFill="1" applyBorder="1" applyAlignment="1">
      <alignment horizontal="center" vertical="center"/>
    </xf>
    <xf numFmtId="164" fontId="0" fillId="3" borderId="42" xfId="0" applyNumberFormat="1" applyFill="1" applyBorder="1" applyAlignment="1">
      <alignment horizontal="center" vertical="center"/>
    </xf>
    <xf numFmtId="164" fontId="0" fillId="10" borderId="0" xfId="0" applyNumberFormat="1" applyFill="1"/>
    <xf numFmtId="0" fontId="1" fillId="12" borderId="20" xfId="0" applyFont="1" applyFill="1" applyBorder="1" applyAlignment="1">
      <alignment horizontal="center" vertical="center"/>
    </xf>
    <xf numFmtId="0" fontId="1" fillId="12" borderId="21" xfId="0" applyFont="1" applyFill="1" applyBorder="1" applyAlignment="1">
      <alignment horizontal="center" vertical="center"/>
    </xf>
    <xf numFmtId="0" fontId="1" fillId="12" borderId="22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12" borderId="26" xfId="0" applyFont="1" applyFill="1" applyBorder="1" applyAlignment="1">
      <alignment horizontal="center" vertical="center"/>
    </xf>
    <xf numFmtId="0" fontId="0" fillId="2" borderId="31" xfId="0" applyFill="1" applyBorder="1"/>
    <xf numFmtId="0" fontId="0" fillId="2" borderId="32" xfId="0" applyFill="1" applyBorder="1"/>
    <xf numFmtId="3" fontId="0" fillId="3" borderId="3" xfId="0" applyNumberFormat="1" applyFill="1" applyBorder="1"/>
    <xf numFmtId="3" fontId="0" fillId="3" borderId="7" xfId="0" applyNumberFormat="1" applyFill="1" applyBorder="1"/>
    <xf numFmtId="0" fontId="3" fillId="10" borderId="0" xfId="0" applyFont="1" applyFill="1" applyAlignment="1">
      <alignment horizontal="center" vertical="center"/>
    </xf>
    <xf numFmtId="0" fontId="1" fillId="4" borderId="7" xfId="0" applyFont="1" applyFill="1" applyBorder="1"/>
    <xf numFmtId="0" fontId="1" fillId="10" borderId="7" xfId="0" applyFont="1" applyFill="1" applyBorder="1"/>
    <xf numFmtId="0" fontId="1" fillId="0" borderId="7" xfId="0" applyFont="1" applyBorder="1"/>
    <xf numFmtId="0" fontId="1" fillId="10" borderId="7" xfId="0" applyFont="1" applyFill="1" applyBorder="1" applyAlignment="1">
      <alignment horizontal="center" vertical="center"/>
    </xf>
    <xf numFmtId="164" fontId="3" fillId="10" borderId="0" xfId="0" applyNumberFormat="1" applyFont="1" applyFill="1" applyAlignment="1">
      <alignment horizontal="center" vertical="center"/>
    </xf>
    <xf numFmtId="0" fontId="0" fillId="16" borderId="0" xfId="0" applyFill="1"/>
    <xf numFmtId="0" fontId="1" fillId="16" borderId="0" xfId="0" applyFont="1" applyFill="1" applyAlignment="1">
      <alignment horizontal="right"/>
    </xf>
    <xf numFmtId="0" fontId="0" fillId="16" borderId="1" xfId="0" applyFill="1" applyBorder="1"/>
    <xf numFmtId="0" fontId="4" fillId="16" borderId="0" xfId="0" applyFont="1" applyFill="1" applyAlignment="1">
      <alignment wrapText="1"/>
    </xf>
    <xf numFmtId="0" fontId="1" fillId="4" borderId="7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" fontId="0" fillId="10" borderId="0" xfId="0" applyNumberFormat="1" applyFill="1" applyAlignment="1">
      <alignment horizontal="center" vertical="center"/>
    </xf>
    <xf numFmtId="0" fontId="0" fillId="3" borderId="34" xfId="0" applyFill="1" applyBorder="1"/>
    <xf numFmtId="0" fontId="1" fillId="7" borderId="0" xfId="0" applyFont="1" applyFill="1" applyAlignment="1">
      <alignment horizontal="center" vertical="center"/>
    </xf>
    <xf numFmtId="0" fontId="1" fillId="7" borderId="24" xfId="0" applyFont="1" applyFill="1" applyBorder="1" applyAlignment="1">
      <alignment horizontal="center"/>
    </xf>
    <xf numFmtId="0" fontId="1" fillId="6" borderId="43" xfId="0" applyFont="1" applyFill="1" applyBorder="1"/>
    <xf numFmtId="1" fontId="0" fillId="3" borderId="24" xfId="0" applyNumberForma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3" borderId="21" xfId="0" applyFill="1" applyBorder="1" applyAlignment="1">
      <alignment horizontal="center" vertical="center"/>
    </xf>
    <xf numFmtId="2" fontId="0" fillId="3" borderId="0" xfId="0" applyNumberFormat="1" applyFill="1"/>
    <xf numFmtId="2" fontId="0" fillId="3" borderId="1" xfId="0" applyNumberFormat="1" applyFill="1" applyBorder="1"/>
    <xf numFmtId="0" fontId="1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/>
    <xf numFmtId="1" fontId="0" fillId="3" borderId="0" xfId="0" applyNumberFormat="1" applyFill="1"/>
    <xf numFmtId="1" fontId="0" fillId="3" borderId="1" xfId="0" applyNumberFormat="1" applyFill="1" applyBorder="1"/>
    <xf numFmtId="0" fontId="1" fillId="2" borderId="1" xfId="0" applyFont="1" applyFill="1" applyBorder="1"/>
    <xf numFmtId="0" fontId="1" fillId="16" borderId="0" xfId="0" applyFont="1" applyFill="1"/>
    <xf numFmtId="0" fontId="3" fillId="16" borderId="0" xfId="0" applyFont="1" applyFill="1" applyAlignment="1">
      <alignment horizontal="center" vertical="center"/>
    </xf>
    <xf numFmtId="0" fontId="0" fillId="3" borderId="0" xfId="0" quotePrefix="1" applyFill="1"/>
    <xf numFmtId="0" fontId="0" fillId="3" borderId="0" xfId="0" applyFill="1" applyAlignment="1">
      <alignment horizontal="left" indent="2"/>
    </xf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/>
    </xf>
    <xf numFmtId="0" fontId="0" fillId="3" borderId="25" xfId="0" applyFill="1" applyBorder="1" applyAlignment="1">
      <alignment horizontal="left" indent="1"/>
    </xf>
    <xf numFmtId="0" fontId="0" fillId="8" borderId="30" xfId="0" applyFill="1" applyBorder="1" applyAlignment="1">
      <alignment horizontal="right" vertical="center"/>
    </xf>
    <xf numFmtId="0" fontId="0" fillId="8" borderId="29" xfId="0" applyFill="1" applyBorder="1" applyAlignment="1">
      <alignment horizontal="right" vertical="center"/>
    </xf>
    <xf numFmtId="0" fontId="1" fillId="1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right" vertical="center"/>
    </xf>
    <xf numFmtId="0" fontId="13" fillId="4" borderId="1" xfId="0" applyFont="1" applyFill="1" applyBorder="1" applyAlignment="1">
      <alignment horizontal="center" vertical="center"/>
    </xf>
    <xf numFmtId="15" fontId="13" fillId="4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/>
    </xf>
    <xf numFmtId="0" fontId="1" fillId="5" borderId="10" xfId="0" applyFont="1" applyFill="1" applyBorder="1" applyAlignment="1">
      <alignment horizontal="left"/>
    </xf>
    <xf numFmtId="0" fontId="1" fillId="5" borderId="11" xfId="0" applyFont="1" applyFill="1" applyBorder="1" applyAlignment="1">
      <alignment horizontal="left"/>
    </xf>
    <xf numFmtId="0" fontId="1" fillId="5" borderId="8" xfId="0" applyFont="1" applyFill="1" applyBorder="1" applyAlignment="1">
      <alignment horizontal="left"/>
    </xf>
    <xf numFmtId="0" fontId="1" fillId="5" borderId="9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0" fillId="10" borderId="0" xfId="0" quotePrefix="1" applyFill="1" applyAlignment="1">
      <alignment horizontal="left" indent="1"/>
    </xf>
    <xf numFmtId="0" fontId="0" fillId="10" borderId="0" xfId="0" applyFill="1" applyAlignment="1">
      <alignment horizontal="left" indent="1"/>
    </xf>
    <xf numFmtId="164" fontId="1" fillId="10" borderId="21" xfId="0" applyNumberFormat="1" applyFont="1" applyFill="1" applyBorder="1" applyAlignment="1">
      <alignment horizontal="center" vertical="center"/>
    </xf>
    <xf numFmtId="164" fontId="1" fillId="10" borderId="0" xfId="0" applyNumberFormat="1" applyFont="1" applyFill="1" applyAlignment="1">
      <alignment horizontal="center" vertical="center"/>
    </xf>
    <xf numFmtId="0" fontId="0" fillId="10" borderId="1" xfId="0" quotePrefix="1" applyFill="1" applyBorder="1" applyAlignment="1">
      <alignment horizontal="left" indent="1"/>
    </xf>
    <xf numFmtId="0" fontId="0" fillId="10" borderId="1" xfId="0" applyFill="1" applyBorder="1" applyAlignment="1">
      <alignment horizontal="left" indent="1"/>
    </xf>
    <xf numFmtId="44" fontId="0" fillId="10" borderId="21" xfId="0" applyNumberFormat="1" applyFill="1" applyBorder="1" applyAlignment="1">
      <alignment horizontal="center"/>
    </xf>
    <xf numFmtId="44" fontId="0" fillId="10" borderId="0" xfId="0" applyNumberFormat="1" applyFill="1" applyAlignment="1">
      <alignment horizontal="center"/>
    </xf>
    <xf numFmtId="44" fontId="0" fillId="10" borderId="1" xfId="0" applyNumberFormat="1" applyFill="1" applyBorder="1" applyAlignment="1">
      <alignment horizontal="center"/>
    </xf>
    <xf numFmtId="44" fontId="3" fillId="14" borderId="29" xfId="0" applyNumberFormat="1" applyFont="1" applyFill="1" applyBorder="1" applyAlignment="1">
      <alignment horizontal="center"/>
    </xf>
    <xf numFmtId="0" fontId="1" fillId="14" borderId="29" xfId="0" applyFont="1" applyFill="1" applyBorder="1" applyAlignment="1">
      <alignment horizontal="left"/>
    </xf>
    <xf numFmtId="0" fontId="4" fillId="10" borderId="0" xfId="0" quotePrefix="1" applyFont="1" applyFill="1" applyAlignment="1">
      <alignment horizontal="right" indent="1"/>
    </xf>
    <xf numFmtId="0" fontId="4" fillId="10" borderId="0" xfId="0" applyFont="1" applyFill="1" applyAlignment="1">
      <alignment horizontal="right" indent="1"/>
    </xf>
    <xf numFmtId="3" fontId="1" fillId="10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10" borderId="0" xfId="0" applyFont="1" applyFill="1" applyAlignment="1">
      <alignment horizontal="left"/>
    </xf>
    <xf numFmtId="0" fontId="4" fillId="10" borderId="0" xfId="0" quotePrefix="1" applyFont="1" applyFill="1" applyAlignment="1">
      <alignment horizontal="right"/>
    </xf>
    <xf numFmtId="0" fontId="4" fillId="2" borderId="4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1" fillId="12" borderId="7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right" indent="1"/>
    </xf>
    <xf numFmtId="0" fontId="1" fillId="2" borderId="3" xfId="0" applyFont="1" applyFill="1" applyBorder="1" applyAlignment="1">
      <alignment horizontal="right" indent="1"/>
    </xf>
    <xf numFmtId="0" fontId="1" fillId="2" borderId="6" xfId="0" applyFont="1" applyFill="1" applyBorder="1" applyAlignment="1">
      <alignment horizontal="right" indent="1"/>
    </xf>
    <xf numFmtId="0" fontId="1" fillId="2" borderId="7" xfId="0" applyFont="1" applyFill="1" applyBorder="1" applyAlignment="1">
      <alignment horizontal="right" indent="1"/>
    </xf>
    <xf numFmtId="0" fontId="5" fillId="16" borderId="0" xfId="0" applyFont="1" applyFill="1" applyAlignment="1">
      <alignment horizontal="center"/>
    </xf>
    <xf numFmtId="0" fontId="1" fillId="8" borderId="0" xfId="0" applyFont="1" applyFill="1" applyAlignment="1">
      <alignment horizontal="center" vertical="top" wrapText="1"/>
    </xf>
    <xf numFmtId="2" fontId="1" fillId="10" borderId="0" xfId="0" applyNumberFormat="1" applyFont="1" applyFill="1" applyAlignment="1">
      <alignment horizontal="center" vertical="center"/>
    </xf>
    <xf numFmtId="0" fontId="4" fillId="16" borderId="21" xfId="0" applyFont="1" applyFill="1" applyBorder="1" applyAlignment="1">
      <alignment horizontal="right" wrapText="1"/>
    </xf>
    <xf numFmtId="0" fontId="4" fillId="16" borderId="0" xfId="0" applyFont="1" applyFill="1" applyAlignment="1">
      <alignment horizontal="right" wrapText="1"/>
    </xf>
    <xf numFmtId="0" fontId="1" fillId="16" borderId="0" xfId="0" applyFont="1" applyFill="1" applyAlignment="1">
      <alignment horizontal="right"/>
    </xf>
    <xf numFmtId="0" fontId="0" fillId="10" borderId="0" xfId="0" applyFill="1" applyAlignment="1">
      <alignment horizontal="left" indent="2"/>
    </xf>
    <xf numFmtId="0" fontId="0" fillId="16" borderId="0" xfId="0" applyFill="1" applyAlignment="1">
      <alignment horizontal="right"/>
    </xf>
    <xf numFmtId="0" fontId="5" fillId="16" borderId="0" xfId="0" applyFont="1" applyFill="1" applyAlignment="1">
      <alignment horizontal="lef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7" borderId="20" xfId="0" applyFill="1" applyBorder="1" applyAlignment="1">
      <alignment horizontal="left"/>
    </xf>
    <xf numFmtId="0" fontId="0" fillId="7" borderId="21" xfId="0" applyFill="1" applyBorder="1" applyAlignment="1">
      <alignment horizontal="left"/>
    </xf>
    <xf numFmtId="0" fontId="1" fillId="12" borderId="28" xfId="0" applyFont="1" applyFill="1" applyBorder="1" applyAlignment="1">
      <alignment horizontal="center"/>
    </xf>
    <xf numFmtId="0" fontId="1" fillId="12" borderId="29" xfId="0" applyFont="1" applyFill="1" applyBorder="1" applyAlignment="1">
      <alignment horizontal="center"/>
    </xf>
    <xf numFmtId="0" fontId="1" fillId="12" borderId="30" xfId="0" applyFont="1" applyFill="1" applyBorder="1" applyAlignment="1">
      <alignment horizontal="center"/>
    </xf>
    <xf numFmtId="0" fontId="0" fillId="7" borderId="20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0" xfId="0" applyFill="1" applyAlignment="1">
      <alignment horizontal="left"/>
    </xf>
    <xf numFmtId="0" fontId="0" fillId="7" borderId="0" xfId="0" applyFill="1" applyAlignment="1">
      <alignment horizontal="left" vertical="center"/>
    </xf>
    <xf numFmtId="0" fontId="0" fillId="3" borderId="23" xfId="0" applyFill="1" applyBorder="1" applyAlignment="1">
      <alignment horizontal="right"/>
    </xf>
    <xf numFmtId="0" fontId="0" fillId="3" borderId="0" xfId="0" applyFill="1" applyAlignment="1">
      <alignment horizontal="right"/>
    </xf>
    <xf numFmtId="0" fontId="0" fillId="3" borderId="25" xfId="0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1" fillId="6" borderId="0" xfId="0" applyFont="1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" fillId="11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20" xfId="0" applyFill="1" applyBorder="1" applyAlignment="1">
      <alignment horizontal="left" vertical="center"/>
    </xf>
    <xf numFmtId="0" fontId="0" fillId="3" borderId="25" xfId="0" applyFill="1" applyBorder="1" applyAlignment="1">
      <alignment horizontal="left" vertical="center"/>
    </xf>
    <xf numFmtId="0" fontId="1" fillId="7" borderId="20" xfId="0" applyFont="1" applyFill="1" applyBorder="1" applyAlignment="1">
      <alignment horizontal="center" vertical="center" wrapText="1"/>
    </xf>
    <xf numFmtId="0" fontId="1" fillId="7" borderId="25" xfId="0" applyFont="1" applyFill="1" applyBorder="1" applyAlignment="1">
      <alignment horizontal="center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6" borderId="28" xfId="0" applyFont="1" applyFill="1" applyBorder="1" applyAlignment="1">
      <alignment horizontal="center"/>
    </xf>
    <xf numFmtId="0" fontId="1" fillId="6" borderId="29" xfId="0" applyFont="1" applyFill="1" applyBorder="1" applyAlignment="1">
      <alignment horizontal="center"/>
    </xf>
    <xf numFmtId="0" fontId="1" fillId="6" borderId="30" xfId="0" applyFont="1" applyFill="1" applyBorder="1" applyAlignment="1">
      <alignment horizontal="center"/>
    </xf>
    <xf numFmtId="0" fontId="5" fillId="3" borderId="0" xfId="0" applyFont="1" applyFill="1" applyAlignment="1">
      <alignment horizontal="left"/>
    </xf>
    <xf numFmtId="0" fontId="5" fillId="8" borderId="0" xfId="0" applyFont="1" applyFill="1" applyAlignment="1">
      <alignment horizontal="right"/>
    </xf>
    <xf numFmtId="0" fontId="7" fillId="3" borderId="1" xfId="0" applyFont="1" applyFill="1" applyBorder="1" applyAlignment="1">
      <alignment horizontal="center"/>
    </xf>
    <xf numFmtId="0" fontId="0" fillId="7" borderId="0" xfId="0" quotePrefix="1" applyFill="1" applyAlignment="1">
      <alignment horizontal="left" vertical="top" wrapText="1"/>
    </xf>
    <xf numFmtId="0" fontId="0" fillId="7" borderId="0" xfId="0" applyFill="1" applyAlignment="1">
      <alignment horizontal="left" vertical="top" wrapText="1"/>
    </xf>
    <xf numFmtId="0" fontId="1" fillId="7" borderId="23" xfId="0" applyFont="1" applyFill="1" applyBorder="1" applyAlignment="1">
      <alignment horizontal="center" vertical="center" wrapText="1"/>
    </xf>
    <xf numFmtId="0" fontId="1" fillId="7" borderId="0" xfId="0" applyFont="1" applyFill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83CCEB"/>
      <color rgb="FF83E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22/10/relationships/richValueRel" Target="richData/richValueRel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Lines="3" dropStyle="combo" dx="22" fmlaLink="$B$5" fmlaRange="'DropDown Lists'!$B$3:$B$5" sel="2" val="0"/>
</file>

<file path=xl/ctrlProps/ctrlProp2.xml><?xml version="1.0" encoding="utf-8"?>
<formControlPr xmlns="http://schemas.microsoft.com/office/spreadsheetml/2009/9/main" objectType="Drop" dropLines="3" dropStyle="combo" dx="22" fmlaLink="$B$11" fmlaRange="'DropDown Lists'!$C$3:$C$4" sel="1" val="0"/>
</file>

<file path=xl/ctrlProps/ctrlProp3.xml><?xml version="1.0" encoding="utf-8"?>
<formControlPr xmlns="http://schemas.microsoft.com/office/spreadsheetml/2009/9/main" objectType="CheckBox" fmlaLink="$C$11" lockText="1"/>
</file>

<file path=xl/ctrlProps/ctrlProp4.xml><?xml version="1.0" encoding="utf-8"?>
<formControlPr xmlns="http://schemas.microsoft.com/office/spreadsheetml/2009/9/main" objectType="Drop" dropLines="3" dropStyle="combo" dx="22" fmlaLink="$B$16" fmlaRange="'DropDown Lists'!$E$3:$E$4" sel="1" val="0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Drop" dropLines="3" dropStyle="combo" dx="22" fmlaLink="Main!$B$5" fmlaRange="'DropDown Lists'!$B$3:$B$5" sel="2" val="0"/>
</file>

<file path=xl/ctrlProps/ctrlProp10.xml><?xml version="1.0" encoding="utf-8"?>
<formControlPr xmlns="http://schemas.microsoft.com/office/spreadsheetml/2009/9/main" objectType="Drop" dropLines="3" dropStyle="combo" dx="22" fmlaLink="Main!$B$11" fmlaRange="'DropDown Lists'!$C$3:$C$4" sel="1" val="0"/>
</file>

<file path=xl/ctrlProps/ctrlProp11.xml><?xml version="1.0" encoding="utf-8"?>
<formControlPr xmlns="http://schemas.microsoft.com/office/spreadsheetml/2009/9/main" objectType="CheckBox" fmlaLink="$C$11" lockText="1"/>
</file>

<file path=xl/ctrlProps/ctrlProp12.xml><?xml version="1.0" encoding="utf-8"?>
<formControlPr xmlns="http://schemas.microsoft.com/office/spreadsheetml/2009/9/main" objectType="Drop" dropLines="3" dropStyle="combo" dx="22" fmlaLink="Main!$B$16" fmlaRange="'DropDown Lists'!$E$3:$E$4" sel="1" val="0"/>
</file>

<file path=xl/ctrlProps/ctrlProp13.xml><?xml version="1.0" encoding="utf-8"?>
<formControlPr xmlns="http://schemas.microsoft.com/office/spreadsheetml/2009/9/main" objectType="CheckBox" fmlaLink="Main!$C$11" lockText="1"/>
</file>

<file path=xl/ctrlProps/ctrlProp14.xml><?xml version="1.0" encoding="utf-8"?>
<formControlPr xmlns="http://schemas.microsoft.com/office/spreadsheetml/2009/9/main" objectType="Drop" dropLines="10" dropStyle="combo" dx="22" fmlaLink="$C$10" fmlaRange="'DropDown Lists'!$G$3:$G$12" sel="1" val="0"/>
</file>

<file path=xl/ctrlProps/ctrlProp15.xml><?xml version="1.0" encoding="utf-8"?>
<formControlPr xmlns="http://schemas.microsoft.com/office/spreadsheetml/2009/9/main" objectType="CheckBox" lockText="1"/>
</file>

<file path=xl/ctrlProps/ctrlProp16.xml><?xml version="1.0" encoding="utf-8"?>
<formControlPr xmlns="http://schemas.microsoft.com/office/spreadsheetml/2009/9/main" objectType="Drop" dropLines="6" dropStyle="combo" dx="22" fmlaLink="$M$15" fmlaRange="'DropDown Lists'!$L$3:$L$8" sel="5" val="0"/>
</file>

<file path=xl/ctrlProps/ctrlProp17.xml><?xml version="1.0" encoding="utf-8"?>
<formControlPr xmlns="http://schemas.microsoft.com/office/spreadsheetml/2009/9/main" objectType="Drop" dropLines="3" dropStyle="combo" dx="22" fmlaLink="$P$15" fmlaRange="'DropDown Lists'!$P$3:$P$5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25400</xdr:rowOff>
        </xdr:from>
        <xdr:to>
          <xdr:col>5</xdr:col>
          <xdr:colOff>596900</xdr:colOff>
          <xdr:row>5</xdr:row>
          <xdr:rowOff>101600</xdr:rowOff>
        </xdr:to>
        <xdr:sp macro="" textlink="">
          <xdr:nvSpPr>
            <xdr:cNvPr id="2050" name="DropDownTyp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438150</xdr:colOff>
      <xdr:row>3</xdr:row>
      <xdr:rowOff>19050</xdr:rowOff>
    </xdr:from>
    <xdr:to>
      <xdr:col>22</xdr:col>
      <xdr:colOff>266177</xdr:colOff>
      <xdr:row>12</xdr:row>
      <xdr:rowOff>161925</xdr:rowOff>
    </xdr:to>
    <xdr:pic>
      <xdr:nvPicPr>
        <xdr:cNvPr id="7" name="Picture 6" descr="Diagram&#10;&#10;AI-generated content may be incorrect.">
          <a:extLst>
            <a:ext uri="{FF2B5EF4-FFF2-40B4-BE49-F238E27FC236}">
              <a16:creationId xmlns:a16="http://schemas.microsoft.com/office/drawing/2014/main" id="{EFDE3FF5-664F-36E8-F3CA-51690E402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1750" y="609600"/>
          <a:ext cx="3485627" cy="1857375"/>
        </a:xfrm>
        <a:prstGeom prst="rect">
          <a:avLst/>
        </a:prstGeom>
      </xdr:spPr>
    </xdr:pic>
    <xdr:clientData/>
  </xdr:twoCellAnchor>
  <xdr:twoCellAnchor editAs="oneCell">
    <xdr:from>
      <xdr:col>15</xdr:col>
      <xdr:colOff>304800</xdr:colOff>
      <xdr:row>14</xdr:row>
      <xdr:rowOff>57150</xdr:rowOff>
    </xdr:from>
    <xdr:to>
      <xdr:col>23</xdr:col>
      <xdr:colOff>300251</xdr:colOff>
      <xdr:row>21</xdr:row>
      <xdr:rowOff>116804</xdr:rowOff>
    </xdr:to>
    <xdr:pic>
      <xdr:nvPicPr>
        <xdr:cNvPr id="8" name="Picture 7" descr="A picture containing diagram&#10;&#10;AI-generated content may be incorrect.">
          <a:extLst>
            <a:ext uri="{FF2B5EF4-FFF2-40B4-BE49-F238E27FC236}">
              <a16:creationId xmlns:a16="http://schemas.microsoft.com/office/drawing/2014/main" id="{B6D3C9A5-0AD4-D144-A749-0DAE595CF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800" y="2771775"/>
          <a:ext cx="4872251" cy="1393154"/>
        </a:xfrm>
        <a:prstGeom prst="rect">
          <a:avLst/>
        </a:prstGeom>
      </xdr:spPr>
    </xdr:pic>
    <xdr:clientData/>
  </xdr:twoCellAnchor>
  <xdr:twoCellAnchor>
    <xdr:from>
      <xdr:col>21</xdr:col>
      <xdr:colOff>194830</xdr:colOff>
      <xdr:row>2</xdr:row>
      <xdr:rowOff>103909</xdr:rowOff>
    </xdr:from>
    <xdr:to>
      <xdr:col>23</xdr:col>
      <xdr:colOff>350693</xdr:colOff>
      <xdr:row>2</xdr:row>
      <xdr:rowOff>108239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B93DD01D-3EC1-9F1B-B176-2F81E2EBB863}"/>
            </a:ext>
          </a:extLst>
        </xdr:cNvPr>
        <xdr:cNvCxnSpPr/>
      </xdr:nvCxnSpPr>
      <xdr:spPr>
        <a:xfrm flipH="1">
          <a:off x="13014614" y="493568"/>
          <a:ext cx="1376795" cy="4330"/>
        </a:xfrm>
        <a:prstGeom prst="line">
          <a:avLst/>
        </a:prstGeom>
        <a:ln w="38100">
          <a:solidFill>
            <a:schemeClr val="accent2">
              <a:lumMod val="75000"/>
            </a:schemeClr>
          </a:solidFill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194830</xdr:colOff>
      <xdr:row>13</xdr:row>
      <xdr:rowOff>103909</xdr:rowOff>
    </xdr:from>
    <xdr:to>
      <xdr:col>23</xdr:col>
      <xdr:colOff>350693</xdr:colOff>
      <xdr:row>13</xdr:row>
      <xdr:rowOff>108239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7DAAA63D-44B6-4121-8AFE-2304354895C5}"/>
            </a:ext>
          </a:extLst>
        </xdr:cNvPr>
        <xdr:cNvCxnSpPr/>
      </xdr:nvCxnSpPr>
      <xdr:spPr>
        <a:xfrm flipH="1">
          <a:off x="13014614" y="493568"/>
          <a:ext cx="1376795" cy="4330"/>
        </a:xfrm>
        <a:prstGeom prst="line">
          <a:avLst/>
        </a:prstGeom>
        <a:ln w="38100">
          <a:solidFill>
            <a:schemeClr val="accent4">
              <a:lumMod val="75000"/>
            </a:schemeClr>
          </a:solidFill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10</xdr:row>
          <xdr:rowOff>38100</xdr:rowOff>
        </xdr:from>
        <xdr:to>
          <xdr:col>5</xdr:col>
          <xdr:colOff>596900</xdr:colOff>
          <xdr:row>11</xdr:row>
          <xdr:rowOff>127000</xdr:rowOff>
        </xdr:to>
        <xdr:sp macro="" textlink="">
          <xdr:nvSpPr>
            <xdr:cNvPr id="2051" name="DropDownPrese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11</xdr:row>
          <xdr:rowOff>152400</xdr:rowOff>
        </xdr:from>
        <xdr:to>
          <xdr:col>5</xdr:col>
          <xdr:colOff>317500</xdr:colOff>
          <xdr:row>12</xdr:row>
          <xdr:rowOff>177800</xdr:rowOff>
        </xdr:to>
        <xdr:sp macro="" textlink="">
          <xdr:nvSpPr>
            <xdr:cNvPr id="2053" name="cbDinoDres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AHTS "Dino" Class for Dessing Suction Piles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25400</xdr:rowOff>
        </xdr:from>
        <xdr:to>
          <xdr:col>5</xdr:col>
          <xdr:colOff>596900</xdr:colOff>
          <xdr:row>16</xdr:row>
          <xdr:rowOff>101600</xdr:rowOff>
        </xdr:to>
        <xdr:sp macro="" textlink="">
          <xdr:nvSpPr>
            <xdr:cNvPr id="2054" name="DropDownConnec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14</xdr:row>
          <xdr:rowOff>152400</xdr:rowOff>
        </xdr:from>
        <xdr:to>
          <xdr:col>5</xdr:col>
          <xdr:colOff>406400</xdr:colOff>
          <xdr:row>15</xdr:row>
          <xdr:rowOff>177800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AHTS "Dino" Class for Dessing Suction Piles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23</xdr:row>
          <xdr:rowOff>152400</xdr:rowOff>
        </xdr:from>
        <xdr:to>
          <xdr:col>5</xdr:col>
          <xdr:colOff>406400</xdr:colOff>
          <xdr:row>24</xdr:row>
          <xdr:rowOff>177800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AHTS "Dino" Class for Dessing Suction Piles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</xdr:row>
          <xdr:rowOff>152400</xdr:rowOff>
        </xdr:from>
        <xdr:to>
          <xdr:col>12</xdr:col>
          <xdr:colOff>406400</xdr:colOff>
          <xdr:row>5</xdr:row>
          <xdr:rowOff>177800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AHTS "Dino" Class for Dessing Suction Piles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11</xdr:row>
          <xdr:rowOff>152400</xdr:rowOff>
        </xdr:from>
        <xdr:to>
          <xdr:col>12</xdr:col>
          <xdr:colOff>406400</xdr:colOff>
          <xdr:row>12</xdr:row>
          <xdr:rowOff>177800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AHTS "Dino" Class for Dessing Suction Piles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25400</xdr:rowOff>
        </xdr:from>
        <xdr:to>
          <xdr:col>5</xdr:col>
          <xdr:colOff>596900</xdr:colOff>
          <xdr:row>5</xdr:row>
          <xdr:rowOff>101600</xdr:rowOff>
        </xdr:to>
        <xdr:sp macro="" textlink="">
          <xdr:nvSpPr>
            <xdr:cNvPr id="31747" name="DropDownType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1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10</xdr:row>
          <xdr:rowOff>38100</xdr:rowOff>
        </xdr:from>
        <xdr:to>
          <xdr:col>5</xdr:col>
          <xdr:colOff>596900</xdr:colOff>
          <xdr:row>11</xdr:row>
          <xdr:rowOff>127000</xdr:rowOff>
        </xdr:to>
        <xdr:sp macro="" textlink="">
          <xdr:nvSpPr>
            <xdr:cNvPr id="31748" name="DropDownPreset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1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11</xdr:row>
          <xdr:rowOff>152400</xdr:rowOff>
        </xdr:from>
        <xdr:to>
          <xdr:col>5</xdr:col>
          <xdr:colOff>317500</xdr:colOff>
          <xdr:row>12</xdr:row>
          <xdr:rowOff>177800</xdr:rowOff>
        </xdr:to>
        <xdr:sp macro="" textlink="">
          <xdr:nvSpPr>
            <xdr:cNvPr id="31749" name="cbDinoDress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1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AHTS "Dino" Class for Dessing Suction Piles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25400</xdr:rowOff>
        </xdr:from>
        <xdr:to>
          <xdr:col>6</xdr:col>
          <xdr:colOff>12700</xdr:colOff>
          <xdr:row>16</xdr:row>
          <xdr:rowOff>101600</xdr:rowOff>
        </xdr:to>
        <xdr:sp macro="" textlink="">
          <xdr:nvSpPr>
            <xdr:cNvPr id="31750" name="DropDownConnect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1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11</xdr:row>
          <xdr:rowOff>152400</xdr:rowOff>
        </xdr:from>
        <xdr:to>
          <xdr:col>5</xdr:col>
          <xdr:colOff>317500</xdr:colOff>
          <xdr:row>12</xdr:row>
          <xdr:rowOff>177800</xdr:rowOff>
        </xdr:to>
        <xdr:sp macro="" textlink="">
          <xdr:nvSpPr>
            <xdr:cNvPr id="31751" name="cbDinoDressCheck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1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AHTS "Dino" Class for Dessing Suction Piles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</xdr:row>
          <xdr:rowOff>25400</xdr:rowOff>
        </xdr:from>
        <xdr:to>
          <xdr:col>5</xdr:col>
          <xdr:colOff>520700</xdr:colOff>
          <xdr:row>10</xdr:row>
          <xdr:rowOff>101600</xdr:rowOff>
        </xdr:to>
        <xdr:sp macro="" textlink="">
          <xdr:nvSpPr>
            <xdr:cNvPr id="12289" name="DropDownPile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8</xdr:row>
          <xdr:rowOff>0</xdr:rowOff>
        </xdr:from>
        <xdr:to>
          <xdr:col>6</xdr:col>
          <xdr:colOff>406400</xdr:colOff>
          <xdr:row>9</xdr:row>
          <xdr:rowOff>12700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AHTS "Dino" Class for Dessing Suction Piles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50800</xdr:rowOff>
        </xdr:from>
        <xdr:to>
          <xdr:col>14</xdr:col>
          <xdr:colOff>571500</xdr:colOff>
          <xdr:row>15</xdr:row>
          <xdr:rowOff>139700</xdr:rowOff>
        </xdr:to>
        <xdr:sp macro="" textlink="">
          <xdr:nvSpPr>
            <xdr:cNvPr id="12291" name="DropDownPile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63500</xdr:colOff>
          <xdr:row>14</xdr:row>
          <xdr:rowOff>38100</xdr:rowOff>
        </xdr:from>
        <xdr:to>
          <xdr:col>17</xdr:col>
          <xdr:colOff>558800</xdr:colOff>
          <xdr:row>15</xdr:row>
          <xdr:rowOff>127000</xdr:rowOff>
        </xdr:to>
        <xdr:sp macro="" textlink="">
          <xdr:nvSpPr>
            <xdr:cNvPr id="12292" name="DropDownPiles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2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67</xdr:row>
      <xdr:rowOff>38100</xdr:rowOff>
    </xdr:from>
    <xdr:to>
      <xdr:col>9</xdr:col>
      <xdr:colOff>114977</xdr:colOff>
      <xdr:row>90</xdr:row>
      <xdr:rowOff>162554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E36400A-2007-2B7F-D32B-12427112E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9625" y="12611100"/>
          <a:ext cx="4848902" cy="4505954"/>
        </a:xfrm>
        <a:prstGeom prst="rect">
          <a:avLst/>
        </a:prstGeom>
      </xdr:spPr>
    </xdr:pic>
    <xdr:clientData/>
  </xdr:twoCellAnchor>
  <xdr:twoCellAnchor editAs="oneCell">
    <xdr:from>
      <xdr:col>10</xdr:col>
      <xdr:colOff>200025</xdr:colOff>
      <xdr:row>67</xdr:row>
      <xdr:rowOff>38100</xdr:rowOff>
    </xdr:from>
    <xdr:to>
      <xdr:col>17</xdr:col>
      <xdr:colOff>19620</xdr:colOff>
      <xdr:row>93</xdr:row>
      <xdr:rowOff>181686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5EE3D04-D028-163F-6B13-58215A7E3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10325" y="12611100"/>
          <a:ext cx="4086795" cy="5096586"/>
        </a:xfrm>
        <a:prstGeom prst="rect">
          <a:avLst/>
        </a:prstGeom>
      </xdr:spPr>
    </xdr:pic>
    <xdr:clientData/>
  </xdr:twoCellAnchor>
  <xdr:twoCellAnchor editAs="oneCell">
    <xdr:from>
      <xdr:col>18</xdr:col>
      <xdr:colOff>200025</xdr:colOff>
      <xdr:row>67</xdr:row>
      <xdr:rowOff>38100</xdr:rowOff>
    </xdr:from>
    <xdr:to>
      <xdr:col>25</xdr:col>
      <xdr:colOff>534042</xdr:colOff>
      <xdr:row>92</xdr:row>
      <xdr:rowOff>48291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296705F-960C-FE7A-BBFD-301C39BE3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44275" y="12611100"/>
          <a:ext cx="4601217" cy="4772691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4</v>
  </rv>
  <rv s="0">
    <v>1</v>
    <v>5</v>
  </rv>
  <rv s="0">
    <v>0</v>
    <v>5</v>
  </rv>
  <rv s="0">
    <v>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A5539-AC04-425C-AC5B-A84886BA314D}">
  <sheetPr codeName="Sheet1">
    <tabColor rgb="FF00B050"/>
  </sheetPr>
  <dimension ref="A1:AE40"/>
  <sheetViews>
    <sheetView zoomScale="174" zoomScaleNormal="100" workbookViewId="0">
      <selection activeCell="G24" sqref="G24"/>
    </sheetView>
  </sheetViews>
  <sheetFormatPr baseColWidth="10" defaultColWidth="0" defaultRowHeight="15" zeroHeight="1" x14ac:dyDescent="0.2"/>
  <cols>
    <col min="1" max="6" width="9.1640625" customWidth="1"/>
    <col min="7" max="7" width="7.5" bestFit="1" customWidth="1"/>
    <col min="8" max="31" width="9.1640625" customWidth="1"/>
    <col min="32" max="16384" width="9.1640625" hidden="1"/>
  </cols>
  <sheetData>
    <row r="1" spans="1:3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62" t="s">
        <v>381</v>
      </c>
      <c r="V1" s="163">
        <v>0</v>
      </c>
      <c r="W1" s="162" t="s">
        <v>384</v>
      </c>
      <c r="X1" s="164">
        <v>45719</v>
      </c>
      <c r="Y1" s="1"/>
      <c r="Z1" s="1"/>
      <c r="AA1" s="1"/>
      <c r="AB1" s="1"/>
      <c r="AC1" s="1"/>
      <c r="AD1" s="1"/>
      <c r="AE1" s="1"/>
    </row>
    <row r="2" spans="1:31" ht="16" thickBo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7" thickTop="1" thickBot="1" x14ac:dyDescent="0.25">
      <c r="A3" s="1"/>
      <c r="B3" s="1"/>
      <c r="C3" s="1"/>
      <c r="D3" s="1"/>
      <c r="E3" s="1"/>
      <c r="F3" s="1"/>
      <c r="G3" s="1"/>
      <c r="H3" s="1"/>
      <c r="I3" s="172" t="e" vm="1">
        <f>'Unit Cell Details'!J4</f>
        <v>#VALUE!</v>
      </c>
      <c r="J3" s="173"/>
      <c r="K3" s="173"/>
      <c r="L3" s="173"/>
      <c r="M3" s="173"/>
      <c r="N3" s="173"/>
      <c r="O3" s="174"/>
      <c r="P3" s="166" t="s">
        <v>6</v>
      </c>
      <c r="Q3" s="167"/>
      <c r="R3" s="167"/>
      <c r="S3" s="167"/>
      <c r="T3" s="167"/>
      <c r="U3" s="167"/>
      <c r="V3" s="9"/>
      <c r="W3" s="9"/>
      <c r="X3" s="10"/>
      <c r="Y3" s="1"/>
      <c r="Z3" s="1"/>
      <c r="AA3" s="1"/>
      <c r="AB3" s="1"/>
      <c r="AC3" s="1"/>
      <c r="AD3" s="1"/>
      <c r="AE3" s="1"/>
    </row>
    <row r="4" spans="1:31" x14ac:dyDescent="0.2">
      <c r="A4" s="1"/>
      <c r="B4" s="170" t="s">
        <v>10</v>
      </c>
      <c r="C4" s="170"/>
      <c r="D4" s="170"/>
      <c r="E4" s="170"/>
      <c r="F4" s="170"/>
      <c r="G4" s="1"/>
      <c r="H4" s="1"/>
      <c r="I4" s="175"/>
      <c r="J4" s="176"/>
      <c r="K4" s="176"/>
      <c r="L4" s="176"/>
      <c r="M4" s="176"/>
      <c r="N4" s="176"/>
      <c r="O4" s="177"/>
      <c r="P4" s="2"/>
      <c r="Q4" s="3"/>
      <c r="R4" s="3"/>
      <c r="S4" s="3"/>
      <c r="T4" s="3"/>
      <c r="U4" s="3"/>
      <c r="V4" s="3"/>
      <c r="W4" s="3"/>
      <c r="X4" s="11"/>
      <c r="Y4" s="1"/>
      <c r="Z4" s="1"/>
      <c r="AA4" s="1"/>
      <c r="AB4" s="1"/>
      <c r="AC4" s="1"/>
      <c r="AD4" s="1"/>
      <c r="AE4" s="1"/>
    </row>
    <row r="5" spans="1:31" x14ac:dyDescent="0.2">
      <c r="A5" s="1"/>
      <c r="B5" s="49">
        <v>2</v>
      </c>
      <c r="C5" s="49"/>
      <c r="D5" s="49"/>
      <c r="E5" s="49"/>
      <c r="F5" s="49"/>
      <c r="G5" s="1"/>
      <c r="H5" s="1"/>
      <c r="I5" s="175"/>
      <c r="J5" s="176"/>
      <c r="K5" s="176"/>
      <c r="L5" s="176"/>
      <c r="M5" s="176"/>
      <c r="N5" s="176"/>
      <c r="O5" s="177"/>
      <c r="P5" s="4"/>
      <c r="Q5" s="5"/>
      <c r="R5" s="5"/>
      <c r="S5" s="5"/>
      <c r="T5" s="5"/>
      <c r="U5" s="5"/>
      <c r="V5" s="5"/>
      <c r="W5" s="5"/>
      <c r="X5" s="12"/>
      <c r="Y5" s="1"/>
      <c r="Z5" s="1"/>
      <c r="AA5" s="1"/>
      <c r="AB5" s="1"/>
      <c r="AC5" s="1"/>
      <c r="AD5" s="1"/>
      <c r="AE5" s="1"/>
    </row>
    <row r="6" spans="1:31" x14ac:dyDescent="0.2">
      <c r="A6" s="1"/>
      <c r="B6" s="1"/>
      <c r="C6" s="1"/>
      <c r="D6" s="1"/>
      <c r="E6" s="1"/>
      <c r="F6" s="1"/>
      <c r="G6" s="1"/>
      <c r="H6" s="1"/>
      <c r="I6" s="175"/>
      <c r="J6" s="176"/>
      <c r="K6" s="176"/>
      <c r="L6" s="176"/>
      <c r="M6" s="176"/>
      <c r="N6" s="176"/>
      <c r="O6" s="177"/>
      <c r="P6" s="4"/>
      <c r="Q6" s="5"/>
      <c r="R6" s="5"/>
      <c r="S6" s="5"/>
      <c r="T6" s="5"/>
      <c r="U6" s="5"/>
      <c r="V6" s="5"/>
      <c r="W6" s="5"/>
      <c r="X6" s="12"/>
      <c r="Y6" s="1"/>
      <c r="Z6" s="1"/>
      <c r="AA6" s="1"/>
      <c r="AB6" s="1"/>
      <c r="AC6" s="1"/>
      <c r="AD6" s="1"/>
      <c r="AE6" s="1"/>
    </row>
    <row r="7" spans="1:31" x14ac:dyDescent="0.2">
      <c r="A7" s="1"/>
      <c r="B7" s="171" t="s">
        <v>9</v>
      </c>
      <c r="C7" s="171"/>
      <c r="D7" s="171"/>
      <c r="E7" s="171"/>
      <c r="F7" s="20">
        <v>1</v>
      </c>
      <c r="G7" s="1"/>
      <c r="H7" s="1"/>
      <c r="I7" s="175"/>
      <c r="J7" s="176"/>
      <c r="K7" s="176"/>
      <c r="L7" s="176"/>
      <c r="M7" s="176"/>
      <c r="N7" s="176"/>
      <c r="O7" s="177"/>
      <c r="P7" s="4"/>
      <c r="Q7" s="5"/>
      <c r="R7" s="5"/>
      <c r="S7" s="5"/>
      <c r="T7" s="5"/>
      <c r="U7" s="5"/>
      <c r="V7" s="5"/>
      <c r="W7" s="5"/>
      <c r="X7" s="12"/>
      <c r="Y7" s="1"/>
      <c r="Z7" s="1"/>
      <c r="AA7" s="1"/>
      <c r="AB7" s="1"/>
      <c r="AC7" s="1"/>
      <c r="AD7" s="1"/>
      <c r="AE7" s="1"/>
    </row>
    <row r="8" spans="1:31" x14ac:dyDescent="0.2">
      <c r="A8" s="1"/>
      <c r="B8" s="181" t="str">
        <f>IF(F7&gt;1,"Assumes Unit Cells do not share anchors","")</f>
        <v/>
      </c>
      <c r="C8" s="181"/>
      <c r="D8" s="181"/>
      <c r="E8" s="181"/>
      <c r="F8" s="181"/>
      <c r="G8" s="1"/>
      <c r="H8" s="1"/>
      <c r="I8" s="175"/>
      <c r="J8" s="176"/>
      <c r="K8" s="176"/>
      <c r="L8" s="176"/>
      <c r="M8" s="176"/>
      <c r="N8" s="176"/>
      <c r="O8" s="177"/>
      <c r="P8" s="4"/>
      <c r="Q8" s="5"/>
      <c r="R8" s="5"/>
      <c r="S8" s="5"/>
      <c r="T8" s="5"/>
      <c r="U8" s="5"/>
      <c r="V8" s="5"/>
      <c r="W8" s="5"/>
      <c r="X8" s="12"/>
      <c r="Y8" s="1"/>
      <c r="Z8" s="1"/>
      <c r="AA8" s="1"/>
      <c r="AB8" s="1"/>
      <c r="AC8" s="1"/>
      <c r="AD8" s="1"/>
      <c r="AE8" s="1"/>
    </row>
    <row r="9" spans="1:31" x14ac:dyDescent="0.2">
      <c r="A9" s="1"/>
      <c r="B9" s="1"/>
      <c r="C9" s="1"/>
      <c r="D9" s="1"/>
      <c r="E9" s="1"/>
      <c r="F9" s="1"/>
      <c r="G9" s="1"/>
      <c r="H9" s="1"/>
      <c r="I9" s="175"/>
      <c r="J9" s="176"/>
      <c r="K9" s="176"/>
      <c r="L9" s="176"/>
      <c r="M9" s="176"/>
      <c r="N9" s="176"/>
      <c r="O9" s="177"/>
      <c r="P9" s="4"/>
      <c r="Q9" s="5"/>
      <c r="R9" s="5"/>
      <c r="S9" s="5"/>
      <c r="T9" s="5"/>
      <c r="U9" s="5"/>
      <c r="V9" s="5"/>
      <c r="W9" s="5"/>
      <c r="X9" s="12"/>
      <c r="Y9" s="1"/>
      <c r="Z9" s="1"/>
      <c r="AA9" s="1"/>
      <c r="AB9" s="1"/>
      <c r="AC9" s="1"/>
      <c r="AD9" s="1"/>
      <c r="AE9" s="1"/>
    </row>
    <row r="10" spans="1:31" x14ac:dyDescent="0.2">
      <c r="A10" s="1"/>
      <c r="B10" s="170" t="s">
        <v>74</v>
      </c>
      <c r="C10" s="170"/>
      <c r="D10" s="170"/>
      <c r="E10" s="170"/>
      <c r="F10" s="170"/>
      <c r="G10" s="170"/>
      <c r="H10" s="1"/>
      <c r="I10" s="175"/>
      <c r="J10" s="176"/>
      <c r="K10" s="176"/>
      <c r="L10" s="176"/>
      <c r="M10" s="176"/>
      <c r="N10" s="176"/>
      <c r="O10" s="177"/>
      <c r="P10" s="4"/>
      <c r="Q10" s="5"/>
      <c r="R10" s="5"/>
      <c r="S10" s="5"/>
      <c r="T10" s="5"/>
      <c r="U10" s="5"/>
      <c r="V10" s="5"/>
      <c r="W10" s="5"/>
      <c r="X10" s="12"/>
      <c r="Y10" s="1"/>
      <c r="Z10" s="1"/>
      <c r="AA10" s="1"/>
      <c r="AB10" s="1"/>
      <c r="AC10" s="1"/>
      <c r="AD10" s="1"/>
      <c r="AE10" s="1"/>
    </row>
    <row r="11" spans="1:31" x14ac:dyDescent="0.2">
      <c r="A11" s="1"/>
      <c r="B11" s="49">
        <v>1</v>
      </c>
      <c r="C11" s="49">
        <v>0</v>
      </c>
      <c r="D11" s="49"/>
      <c r="E11" s="49"/>
      <c r="F11" s="49"/>
      <c r="G11" s="1"/>
      <c r="H11" s="1"/>
      <c r="I11" s="175"/>
      <c r="J11" s="176"/>
      <c r="K11" s="176"/>
      <c r="L11" s="176"/>
      <c r="M11" s="176"/>
      <c r="N11" s="176"/>
      <c r="O11" s="177"/>
      <c r="P11" s="4"/>
      <c r="Q11" s="5"/>
      <c r="R11" s="5"/>
      <c r="S11" s="5"/>
      <c r="T11" s="5"/>
      <c r="U11" s="5"/>
      <c r="V11" s="5"/>
      <c r="W11" s="5"/>
      <c r="X11" s="12"/>
      <c r="Y11" s="1"/>
      <c r="Z11" s="1"/>
      <c r="AA11" s="1"/>
      <c r="AB11" s="1"/>
      <c r="AC11" s="1"/>
      <c r="AD11" s="1"/>
      <c r="AE11" s="1"/>
    </row>
    <row r="12" spans="1:31" x14ac:dyDescent="0.2">
      <c r="A12" s="1"/>
      <c r="B12" s="1"/>
      <c r="C12" s="1"/>
      <c r="D12" s="1"/>
      <c r="E12" s="1"/>
      <c r="F12" s="1"/>
      <c r="G12" s="1"/>
      <c r="H12" s="1"/>
      <c r="I12" s="175"/>
      <c r="J12" s="176"/>
      <c r="K12" s="176"/>
      <c r="L12" s="176"/>
      <c r="M12" s="176"/>
      <c r="N12" s="176"/>
      <c r="O12" s="177"/>
      <c r="P12" s="4"/>
      <c r="Q12" s="5"/>
      <c r="R12" s="5"/>
      <c r="S12" s="5"/>
      <c r="T12" s="5"/>
      <c r="U12" s="5"/>
      <c r="V12" s="5"/>
      <c r="W12" s="5"/>
      <c r="X12" s="12"/>
      <c r="Y12" s="1"/>
      <c r="Z12" s="1"/>
      <c r="AA12" s="1"/>
      <c r="AB12" s="1"/>
      <c r="AC12" s="1"/>
      <c r="AD12" s="1"/>
      <c r="AE12" s="1"/>
    </row>
    <row r="13" spans="1:31" ht="16" thickBot="1" x14ac:dyDescent="0.25">
      <c r="A13" s="1"/>
      <c r="B13" s="1"/>
      <c r="C13" s="1"/>
      <c r="D13" s="1"/>
      <c r="E13" s="1"/>
      <c r="F13" s="1"/>
      <c r="G13" s="1"/>
      <c r="H13" s="1"/>
      <c r="I13" s="175"/>
      <c r="J13" s="176"/>
      <c r="K13" s="176"/>
      <c r="L13" s="176"/>
      <c r="M13" s="176"/>
      <c r="N13" s="176"/>
      <c r="O13" s="177"/>
      <c r="P13" s="6"/>
      <c r="Q13" s="7"/>
      <c r="R13" s="7"/>
      <c r="S13" s="7"/>
      <c r="T13" s="7"/>
      <c r="U13" s="7"/>
      <c r="V13" s="7"/>
      <c r="W13" s="7"/>
      <c r="X13" s="13"/>
      <c r="Y13" s="1"/>
      <c r="Z13" s="1"/>
      <c r="AA13" s="1"/>
      <c r="AB13" s="1"/>
      <c r="AC13" s="1"/>
      <c r="AD13" s="1"/>
      <c r="AE13" s="1"/>
    </row>
    <row r="14" spans="1:31" ht="16" thickBot="1" x14ac:dyDescent="0.25">
      <c r="A14" s="1"/>
      <c r="B14" s="1"/>
      <c r="C14" s="1"/>
      <c r="D14" s="1"/>
      <c r="E14" s="1"/>
      <c r="F14" s="1"/>
      <c r="G14" s="1"/>
      <c r="H14" s="1"/>
      <c r="I14" s="175"/>
      <c r="J14" s="176"/>
      <c r="K14" s="176"/>
      <c r="L14" s="176"/>
      <c r="M14" s="176"/>
      <c r="N14" s="176"/>
      <c r="O14" s="177"/>
      <c r="P14" s="168" t="s">
        <v>7</v>
      </c>
      <c r="Q14" s="169"/>
      <c r="R14" s="169"/>
      <c r="S14" s="169"/>
      <c r="T14" s="169"/>
      <c r="U14" s="169"/>
      <c r="V14" s="8"/>
      <c r="W14" s="8"/>
      <c r="X14" s="14"/>
      <c r="Y14" s="1"/>
      <c r="Z14" s="1"/>
      <c r="AA14" s="1"/>
      <c r="AB14" s="1"/>
      <c r="AC14" s="1"/>
      <c r="AD14" s="1"/>
      <c r="AE14" s="1"/>
    </row>
    <row r="15" spans="1:31" x14ac:dyDescent="0.2">
      <c r="A15" s="1"/>
      <c r="B15" s="170" t="s">
        <v>47</v>
      </c>
      <c r="C15" s="170"/>
      <c r="D15" s="170"/>
      <c r="E15" s="170"/>
      <c r="F15" s="170"/>
      <c r="G15" s="1"/>
      <c r="H15" s="1"/>
      <c r="I15" s="175"/>
      <c r="J15" s="176"/>
      <c r="K15" s="176"/>
      <c r="L15" s="176"/>
      <c r="M15" s="176"/>
      <c r="N15" s="176"/>
      <c r="O15" s="177"/>
      <c r="P15" s="2"/>
      <c r="Q15" s="3"/>
      <c r="R15" s="3"/>
      <c r="S15" s="3"/>
      <c r="T15" s="3"/>
      <c r="U15" s="3"/>
      <c r="V15" s="3"/>
      <c r="W15" s="3"/>
      <c r="X15" s="11"/>
      <c r="Y15" s="1"/>
      <c r="Z15" s="1"/>
      <c r="AA15" s="1"/>
      <c r="AB15" s="1"/>
      <c r="AC15" s="1"/>
      <c r="AD15" s="1"/>
      <c r="AE15" s="1"/>
    </row>
    <row r="16" spans="1:31" x14ac:dyDescent="0.2">
      <c r="A16" s="1"/>
      <c r="B16" s="49">
        <v>1</v>
      </c>
      <c r="C16" s="49"/>
      <c r="D16" s="49"/>
      <c r="E16" s="49"/>
      <c r="F16" s="49"/>
      <c r="G16" s="1"/>
      <c r="H16" s="1"/>
      <c r="I16" s="175"/>
      <c r="J16" s="176"/>
      <c r="K16" s="176"/>
      <c r="L16" s="176"/>
      <c r="M16" s="176"/>
      <c r="N16" s="176"/>
      <c r="O16" s="177"/>
      <c r="P16" s="4"/>
      <c r="Q16" s="5"/>
      <c r="R16" s="5"/>
      <c r="S16" s="5"/>
      <c r="T16" s="5"/>
      <c r="U16" s="5"/>
      <c r="V16" s="5"/>
      <c r="W16" s="5"/>
      <c r="X16" s="12"/>
      <c r="Y16" s="1"/>
      <c r="Z16" s="1"/>
      <c r="AA16" s="1"/>
      <c r="AB16" s="1"/>
      <c r="AC16" s="1"/>
      <c r="AD16" s="1"/>
      <c r="AE16" s="1"/>
    </row>
    <row r="17" spans="1:31" x14ac:dyDescent="0.2">
      <c r="A17" s="1"/>
      <c r="B17" s="1"/>
      <c r="C17" s="1"/>
      <c r="D17" s="1"/>
      <c r="E17" s="1"/>
      <c r="F17" s="1"/>
      <c r="G17" s="1"/>
      <c r="H17" s="1"/>
      <c r="I17" s="175"/>
      <c r="J17" s="176"/>
      <c r="K17" s="176"/>
      <c r="L17" s="176"/>
      <c r="M17" s="176"/>
      <c r="N17" s="176"/>
      <c r="O17" s="177"/>
      <c r="P17" s="4"/>
      <c r="Q17" s="5"/>
      <c r="R17" s="5"/>
      <c r="S17" s="5"/>
      <c r="T17" s="5"/>
      <c r="U17" s="5"/>
      <c r="V17" s="5"/>
      <c r="W17" s="5"/>
      <c r="X17" s="12"/>
      <c r="Y17" s="1"/>
      <c r="Z17" s="1"/>
      <c r="AA17" s="1"/>
      <c r="AB17" s="1"/>
      <c r="AC17" s="1"/>
      <c r="AD17" s="1"/>
      <c r="AE17" s="1"/>
    </row>
    <row r="18" spans="1:31" x14ac:dyDescent="0.2">
      <c r="A18" s="1"/>
      <c r="B18" s="1"/>
      <c r="C18" s="1"/>
      <c r="D18" s="1"/>
      <c r="E18" s="1"/>
      <c r="F18" s="1"/>
      <c r="G18" s="1"/>
      <c r="H18" s="1"/>
      <c r="I18" s="175"/>
      <c r="J18" s="176"/>
      <c r="K18" s="176"/>
      <c r="L18" s="176"/>
      <c r="M18" s="176"/>
      <c r="N18" s="176"/>
      <c r="O18" s="177"/>
      <c r="P18" s="4"/>
      <c r="Q18" s="5"/>
      <c r="R18" s="5"/>
      <c r="S18" s="5"/>
      <c r="T18" s="5"/>
      <c r="U18" s="5"/>
      <c r="V18" s="5"/>
      <c r="W18" s="5"/>
      <c r="X18" s="12"/>
      <c r="Y18" s="1"/>
      <c r="Z18" s="1"/>
      <c r="AA18" s="1"/>
      <c r="AB18" s="1"/>
      <c r="AC18" s="1"/>
      <c r="AD18" s="1"/>
      <c r="AE18" s="1"/>
    </row>
    <row r="19" spans="1:31" x14ac:dyDescent="0.2">
      <c r="A19" s="1"/>
      <c r="B19" s="165" t="s">
        <v>200</v>
      </c>
      <c r="C19" s="165"/>
      <c r="D19" s="165"/>
      <c r="E19" s="165"/>
      <c r="F19" s="165"/>
      <c r="G19" s="80" t="s">
        <v>201</v>
      </c>
      <c r="H19" s="1"/>
      <c r="I19" s="175"/>
      <c r="J19" s="176"/>
      <c r="K19" s="176"/>
      <c r="L19" s="176"/>
      <c r="M19" s="176"/>
      <c r="N19" s="176"/>
      <c r="O19" s="177"/>
      <c r="P19" s="4"/>
      <c r="Q19" s="5"/>
      <c r="R19" s="5"/>
      <c r="S19" s="5"/>
      <c r="T19" s="5"/>
      <c r="U19" s="5"/>
      <c r="V19" s="5"/>
      <c r="W19" s="5"/>
      <c r="X19" s="12"/>
      <c r="Y19" s="1"/>
      <c r="Z19" s="1"/>
      <c r="AA19" s="1"/>
      <c r="AB19" s="1"/>
      <c r="AC19" s="1"/>
      <c r="AD19" s="1"/>
      <c r="AE19" s="1"/>
    </row>
    <row r="20" spans="1:31" x14ac:dyDescent="0.2">
      <c r="A20" s="1"/>
      <c r="B20" s="91" t="s">
        <v>76</v>
      </c>
      <c r="C20" s="91"/>
      <c r="D20" s="91"/>
      <c r="E20" s="91"/>
      <c r="F20" s="91"/>
      <c r="G20" s="184">
        <f ca="1">'Case Times'!G11</f>
        <v>14.083333333333334</v>
      </c>
      <c r="H20" s="1"/>
      <c r="I20" s="175"/>
      <c r="J20" s="176"/>
      <c r="K20" s="176"/>
      <c r="L20" s="176"/>
      <c r="M20" s="176"/>
      <c r="N20" s="176"/>
      <c r="O20" s="177"/>
      <c r="P20" s="4"/>
      <c r="Q20" s="5"/>
      <c r="R20" s="5"/>
      <c r="S20" s="5"/>
      <c r="T20" s="5"/>
      <c r="U20" s="5"/>
      <c r="V20" s="5"/>
      <c r="W20" s="5"/>
      <c r="X20" s="12"/>
      <c r="Y20" s="1"/>
      <c r="Z20" s="1"/>
      <c r="AA20" s="1"/>
      <c r="AB20" s="1"/>
      <c r="AC20" s="1"/>
      <c r="AD20" s="1"/>
      <c r="AE20" s="1"/>
    </row>
    <row r="21" spans="1:31" x14ac:dyDescent="0.2">
      <c r="A21" s="1"/>
      <c r="B21" s="182" t="s">
        <v>197</v>
      </c>
      <c r="C21" s="183"/>
      <c r="D21" s="183"/>
      <c r="E21" s="183"/>
      <c r="F21" s="183"/>
      <c r="G21" s="185"/>
      <c r="H21" s="1"/>
      <c r="I21" s="175"/>
      <c r="J21" s="176"/>
      <c r="K21" s="176"/>
      <c r="L21" s="176"/>
      <c r="M21" s="176"/>
      <c r="N21" s="176"/>
      <c r="O21" s="177"/>
      <c r="P21" s="4"/>
      <c r="Q21" s="5"/>
      <c r="R21" s="5"/>
      <c r="S21" s="5"/>
      <c r="T21" s="5"/>
      <c r="U21" s="5"/>
      <c r="V21" s="5"/>
      <c r="W21" s="5"/>
      <c r="X21" s="12"/>
      <c r="Y21" s="1"/>
      <c r="Z21" s="1"/>
      <c r="AA21" s="1"/>
      <c r="AB21" s="1"/>
      <c r="AC21" s="1"/>
      <c r="AD21" s="1"/>
      <c r="AE21" s="1"/>
    </row>
    <row r="22" spans="1:31" ht="16" thickBot="1" x14ac:dyDescent="0.25">
      <c r="A22" s="1"/>
      <c r="B22" s="186" t="str">
        <f ca="1">" + Presetting Mooring Components" &amp; IF(G22&lt;&gt;""," (AHTS)","")</f>
        <v xml:space="preserve"> + Presetting Mooring Components</v>
      </c>
      <c r="C22" s="187"/>
      <c r="D22" s="187"/>
      <c r="E22" s="187"/>
      <c r="F22" s="187"/>
      <c r="G22" s="83" t="str">
        <f ca="1">'Case Times'!G12</f>
        <v/>
      </c>
      <c r="H22" s="1"/>
      <c r="I22" s="178"/>
      <c r="J22" s="179"/>
      <c r="K22" s="179"/>
      <c r="L22" s="179"/>
      <c r="M22" s="179"/>
      <c r="N22" s="179"/>
      <c r="O22" s="180"/>
      <c r="P22" s="15"/>
      <c r="Q22" s="16"/>
      <c r="R22" s="16"/>
      <c r="S22" s="16"/>
      <c r="T22" s="16"/>
      <c r="U22" s="16"/>
      <c r="V22" s="16"/>
      <c r="W22" s="16"/>
      <c r="X22" s="17"/>
      <c r="Y22" s="1"/>
      <c r="Z22" s="1"/>
      <c r="AA22" s="1"/>
      <c r="AB22" s="1"/>
      <c r="AC22" s="1"/>
      <c r="AD22" s="1"/>
      <c r="AE22" s="1"/>
    </row>
    <row r="23" spans="1:31" x14ac:dyDescent="0.2">
      <c r="A23" s="1"/>
      <c r="B23" s="90" t="s">
        <v>194</v>
      </c>
      <c r="C23" s="90"/>
      <c r="D23" s="90"/>
      <c r="E23" s="90"/>
      <c r="F23" s="90"/>
      <c r="G23" s="83">
        <f ca="1">'Case Times'!K8</f>
        <v>3.25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x14ac:dyDescent="0.2">
      <c r="A24" s="1"/>
      <c r="B24" s="93" t="s">
        <v>64</v>
      </c>
      <c r="C24" s="93"/>
      <c r="D24" s="93"/>
      <c r="E24" s="93"/>
      <c r="F24" s="93"/>
      <c r="G24" s="92">
        <f ca="1">MAX(G20:G22)+G23</f>
        <v>17.333333333333336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x14ac:dyDescent="0.2">
      <c r="A25" s="1"/>
      <c r="B25" s="1"/>
      <c r="C25" s="1"/>
      <c r="D25" s="1"/>
      <c r="E25" s="1"/>
      <c r="F25" s="1"/>
      <c r="G25" s="1"/>
      <c r="H25" s="1"/>
      <c r="I25" s="1"/>
      <c r="J25" s="12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x14ac:dyDescent="0.2">
      <c r="A26" s="1"/>
      <c r="B26" s="165" t="s">
        <v>77</v>
      </c>
      <c r="C26" s="165"/>
      <c r="D26" s="165"/>
      <c r="E26" s="165"/>
      <c r="F26" s="165"/>
      <c r="G26" s="80" t="s">
        <v>81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x14ac:dyDescent="0.2">
      <c r="A27" s="1"/>
      <c r="B27" s="79" t="str">
        <f ca="1">TEXT('Cost Estimation'!$P$18,"0,0") &amp; "-m of 135-mm R4 Chain"</f>
        <v>1,920-m of 135-mm R4 Chain</v>
      </c>
      <c r="C27" s="79"/>
      <c r="D27" s="79"/>
      <c r="E27" s="79"/>
      <c r="F27" s="188">
        <f ca="1">'Cost Estimation'!$M$18</f>
        <v>2367558.7200000002</v>
      </c>
      <c r="G27" s="188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x14ac:dyDescent="0.2">
      <c r="A28" s="1"/>
      <c r="B28" s="79" t="str">
        <f ca="1">TEXT('Cost Estimation'!$P$20,"0,0") &amp; "-m of 200-mm Polyester"</f>
        <v>16,595-m of 200-mm Polyester</v>
      </c>
      <c r="C28" s="79"/>
      <c r="D28" s="79"/>
      <c r="E28" s="79"/>
      <c r="F28" s="189">
        <f ca="1">'Cost Estimation'!$M$20</f>
        <v>6102728.6028658971</v>
      </c>
      <c r="G28" s="189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x14ac:dyDescent="0.2">
      <c r="A29" s="1"/>
      <c r="B29" s="90" t="str">
        <f>'Cost Estimation'!$P$23 &amp; "x Suction Piles for Marine Clays"</f>
        <v>x Suction Piles for Marine Clays</v>
      </c>
      <c r="C29" s="90"/>
      <c r="D29" s="90"/>
      <c r="E29" s="90"/>
      <c r="F29" s="190">
        <f ca="1">'Cost Estimation'!$M$23</f>
        <v>3100000</v>
      </c>
      <c r="G29" s="190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x14ac:dyDescent="0.2">
      <c r="A30" s="1"/>
      <c r="B30" s="192" t="s">
        <v>211</v>
      </c>
      <c r="C30" s="192"/>
      <c r="D30" s="192"/>
      <c r="E30" s="192"/>
      <c r="F30" s="191">
        <f ca="1">'Cost Estimation'!$M$24</f>
        <v>11570287.322865898</v>
      </c>
      <c r="G30" s="19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</sheetData>
  <mergeCells count="18">
    <mergeCell ref="F27:G27"/>
    <mergeCell ref="F28:G28"/>
    <mergeCell ref="F29:G29"/>
    <mergeCell ref="F30:G30"/>
    <mergeCell ref="B30:E30"/>
    <mergeCell ref="B26:F26"/>
    <mergeCell ref="P3:U3"/>
    <mergeCell ref="P14:U14"/>
    <mergeCell ref="B4:F4"/>
    <mergeCell ref="B7:E7"/>
    <mergeCell ref="B15:F15"/>
    <mergeCell ref="I3:O22"/>
    <mergeCell ref="B8:F8"/>
    <mergeCell ref="B10:G10"/>
    <mergeCell ref="B21:F21"/>
    <mergeCell ref="G20:G21"/>
    <mergeCell ref="B22:F22"/>
    <mergeCell ref="B19:F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DropDownType">
              <controlPr defaultSize="0" autoLine="0" autoPict="0" macro="[0]!DropDownType_Change">
                <anchor moveWithCells="1">
                  <from>
                    <xdr:col>1</xdr:col>
                    <xdr:colOff>38100</xdr:colOff>
                    <xdr:row>4</xdr:row>
                    <xdr:rowOff>25400</xdr:rowOff>
                  </from>
                  <to>
                    <xdr:col>5</xdr:col>
                    <xdr:colOff>596900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DropDownPreset">
              <controlPr defaultSize="0" autoLine="0" autoPict="0" macro="[0]!DropDownPreset_Change">
                <anchor moveWithCells="1">
                  <from>
                    <xdr:col>1</xdr:col>
                    <xdr:colOff>25400</xdr:colOff>
                    <xdr:row>10</xdr:row>
                    <xdr:rowOff>38100</xdr:rowOff>
                  </from>
                  <to>
                    <xdr:col>5</xdr:col>
                    <xdr:colOff>596900</xdr:colOff>
                    <xdr:row>11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cbDinoDress">
              <controlPr defaultSize="0" autoFill="0" autoLine="0" autoPict="0" macro="[0]!cbDinoDress_Click">
                <anchor moveWithCells="1">
                  <from>
                    <xdr:col>1</xdr:col>
                    <xdr:colOff>25400</xdr:colOff>
                    <xdr:row>11</xdr:row>
                    <xdr:rowOff>152400</xdr:rowOff>
                  </from>
                  <to>
                    <xdr:col>5</xdr:col>
                    <xdr:colOff>317500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DropDownConnect">
              <controlPr defaultSize="0" autoLine="0" autoPict="0" macro="[0]!DropDownConnect_Change">
                <anchor moveWithCells="1">
                  <from>
                    <xdr:col>1</xdr:col>
                    <xdr:colOff>38100</xdr:colOff>
                    <xdr:row>15</xdr:row>
                    <xdr:rowOff>25400</xdr:rowOff>
                  </from>
                  <to>
                    <xdr:col>5</xdr:col>
                    <xdr:colOff>596900</xdr:colOff>
                    <xdr:row>16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Check Box 7">
              <controlPr defaultSize="0" autoFill="0" autoLine="0" autoPict="0">
                <anchor moveWithCells="1">
                  <from>
                    <xdr:col>1</xdr:col>
                    <xdr:colOff>114300</xdr:colOff>
                    <xdr:row>14</xdr:row>
                    <xdr:rowOff>152400</xdr:rowOff>
                  </from>
                  <to>
                    <xdr:col>5</xdr:col>
                    <xdr:colOff>406400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Check Box 8">
              <controlPr defaultSize="0" autoFill="0" autoLine="0" autoPict="0">
                <anchor moveWithCells="1">
                  <from>
                    <xdr:col>1</xdr:col>
                    <xdr:colOff>114300</xdr:colOff>
                    <xdr:row>23</xdr:row>
                    <xdr:rowOff>152400</xdr:rowOff>
                  </from>
                  <to>
                    <xdr:col>5</xdr:col>
                    <xdr:colOff>406400</xdr:colOff>
                    <xdr:row>24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033DF-EB9B-42B1-923D-5443EE7030A5}">
  <sheetPr codeName="Sheet29">
    <tabColor theme="8" tint="0.79998168889431442"/>
  </sheetPr>
  <dimension ref="A1:X35"/>
  <sheetViews>
    <sheetView zoomScale="157" zoomScaleNormal="100" workbookViewId="0">
      <selection activeCell="N26" sqref="N26:N27"/>
    </sheetView>
  </sheetViews>
  <sheetFormatPr baseColWidth="10" defaultColWidth="0" defaultRowHeight="15" zeroHeight="1" x14ac:dyDescent="0.2"/>
  <cols>
    <col min="1" max="20" width="9.1640625" customWidth="1"/>
    <col min="21" max="24" width="0" hidden="1" customWidth="1"/>
    <col min="25" max="16384" width="9.1640625" hidden="1"/>
  </cols>
  <sheetData>
    <row r="1" spans="1:20" ht="16" thickBot="1" x14ac:dyDescent="0.25">
      <c r="A1" s="129"/>
      <c r="B1" s="208" t="s">
        <v>383</v>
      </c>
      <c r="C1" s="208"/>
      <c r="D1" s="208"/>
      <c r="E1" s="208"/>
      <c r="F1" s="208"/>
      <c r="G1" s="208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">
      <c r="A2" s="129"/>
      <c r="B2" s="208"/>
      <c r="C2" s="208"/>
      <c r="D2" s="208"/>
      <c r="E2" s="208"/>
      <c r="F2" s="208"/>
      <c r="G2" s="208"/>
      <c r="H2" s="1"/>
      <c r="I2" s="203" t="str">
        <f>TEXT(O2,"0,0") &amp; "-m of 200-mm Polyester Sections"</f>
        <v>2,000-m of 200-mm Polyester Sections</v>
      </c>
      <c r="J2" s="204"/>
      <c r="K2" s="204"/>
      <c r="L2" s="204"/>
      <c r="M2" s="204"/>
      <c r="N2" s="204"/>
      <c r="O2" s="121">
        <v>2000</v>
      </c>
      <c r="P2" s="119" t="s">
        <v>213</v>
      </c>
      <c r="Q2" s="200" t="s">
        <v>229</v>
      </c>
      <c r="R2" s="201"/>
      <c r="S2" s="201"/>
      <c r="T2" s="201"/>
    </row>
    <row r="3" spans="1:20" ht="16" thickBot="1" x14ac:dyDescent="0.25">
      <c r="A3" s="129"/>
      <c r="B3" s="207"/>
      <c r="C3" s="207"/>
      <c r="D3" s="207"/>
      <c r="E3" s="207"/>
      <c r="F3" s="207"/>
      <c r="G3" s="1"/>
      <c r="H3" s="1"/>
      <c r="I3" s="205" t="str">
        <f>TEXT(O3,"0,0") &amp; "-m of 135-mm Chain Sections"</f>
        <v>70-m of 135-mm Chain Sections</v>
      </c>
      <c r="J3" s="206"/>
      <c r="K3" s="206"/>
      <c r="L3" s="206"/>
      <c r="M3" s="206"/>
      <c r="N3" s="206"/>
      <c r="O3" s="122">
        <v>70</v>
      </c>
      <c r="P3" s="120" t="s">
        <v>213</v>
      </c>
      <c r="Q3" s="200"/>
      <c r="R3" s="201"/>
      <c r="S3" s="201"/>
      <c r="T3" s="201"/>
    </row>
    <row r="4" spans="1:20" x14ac:dyDescent="0.2">
      <c r="A4" s="129"/>
      <c r="B4" s="170" t="s">
        <v>10</v>
      </c>
      <c r="C4" s="170"/>
      <c r="D4" s="170"/>
      <c r="E4" s="170"/>
      <c r="F4" s="170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ht="16" thickBot="1" x14ac:dyDescent="0.25">
      <c r="A5" s="129"/>
      <c r="B5" s="49">
        <v>1</v>
      </c>
      <c r="C5" s="49"/>
      <c r="D5" s="49"/>
      <c r="E5" s="49"/>
      <c r="F5" s="49"/>
      <c r="G5" s="1"/>
      <c r="H5" s="1"/>
      <c r="I5" s="1"/>
      <c r="J5" s="1"/>
      <c r="K5" s="1"/>
      <c r="L5" s="1"/>
      <c r="M5" s="202" t="s">
        <v>227</v>
      </c>
      <c r="N5" s="202"/>
      <c r="O5" s="202" t="s">
        <v>228</v>
      </c>
      <c r="P5" s="202"/>
      <c r="Q5" s="1"/>
      <c r="R5" s="1"/>
      <c r="S5" s="1"/>
      <c r="T5" s="1"/>
    </row>
    <row r="6" spans="1:20" x14ac:dyDescent="0.2">
      <c r="A6" s="129"/>
      <c r="B6" s="1"/>
      <c r="C6" s="1"/>
      <c r="D6" s="1"/>
      <c r="E6" s="1"/>
      <c r="F6" s="1"/>
      <c r="G6" s="1"/>
      <c r="H6" s="1"/>
      <c r="I6" s="165" t="s">
        <v>200</v>
      </c>
      <c r="J6" s="165"/>
      <c r="K6" s="165"/>
      <c r="L6" s="165"/>
      <c r="M6" s="165"/>
      <c r="N6" s="80" t="s">
        <v>201</v>
      </c>
      <c r="O6" s="80"/>
      <c r="P6" s="80" t="s">
        <v>201</v>
      </c>
      <c r="Q6" s="1"/>
      <c r="R6" s="1"/>
      <c r="S6" s="1"/>
      <c r="T6" s="1"/>
    </row>
    <row r="7" spans="1:20" x14ac:dyDescent="0.2">
      <c r="A7" s="129"/>
      <c r="B7" s="171" t="s">
        <v>382</v>
      </c>
      <c r="C7" s="171"/>
      <c r="D7" s="171"/>
      <c r="E7" s="171"/>
      <c r="F7" s="161">
        <f>Main!F7</f>
        <v>1</v>
      </c>
      <c r="G7" s="1"/>
      <c r="H7" s="1"/>
      <c r="I7" s="91" t="s">
        <v>76</v>
      </c>
      <c r="J7" s="91"/>
      <c r="K7" s="91"/>
      <c r="L7" s="91"/>
      <c r="M7" s="91"/>
      <c r="N7" s="184">
        <f ca="1">Main!G20</f>
        <v>14.083333333333334</v>
      </c>
      <c r="O7" s="184"/>
      <c r="P7" s="184">
        <f ca="1">'Case Times'!H11</f>
        <v>14.632053823333333</v>
      </c>
      <c r="Q7" s="1"/>
      <c r="R7" s="1"/>
      <c r="S7" s="1"/>
      <c r="T7" s="1"/>
    </row>
    <row r="8" spans="1:20" x14ac:dyDescent="0.2">
      <c r="A8" s="129"/>
      <c r="B8" s="181" t="str">
        <f>IF(F7&gt;1,"Assumes Unit Cells do not share anchors","")</f>
        <v/>
      </c>
      <c r="C8" s="181"/>
      <c r="D8" s="181"/>
      <c r="E8" s="181"/>
      <c r="F8" s="181"/>
      <c r="G8" s="1"/>
      <c r="H8" s="1"/>
      <c r="I8" s="182" t="s">
        <v>197</v>
      </c>
      <c r="J8" s="183"/>
      <c r="K8" s="183"/>
      <c r="L8" s="183"/>
      <c r="M8" s="183"/>
      <c r="N8" s="185"/>
      <c r="O8" s="185"/>
      <c r="P8" s="185"/>
      <c r="Q8" s="1"/>
      <c r="R8" s="1"/>
      <c r="S8" s="1"/>
      <c r="T8" s="1"/>
    </row>
    <row r="9" spans="1:20" x14ac:dyDescent="0.2">
      <c r="A9" s="129"/>
      <c r="B9" s="1"/>
      <c r="C9" s="1"/>
      <c r="D9" s="1"/>
      <c r="E9" s="1"/>
      <c r="F9" s="1"/>
      <c r="G9" s="1"/>
      <c r="H9" s="1"/>
      <c r="I9" s="186" t="str">
        <f ca="1">" + Presetting Mooring Components" &amp; IF(N9&lt;&gt;""," (AHTS)","")</f>
        <v xml:space="preserve"> + Presetting Mooring Components</v>
      </c>
      <c r="J9" s="187"/>
      <c r="K9" s="187"/>
      <c r="L9" s="187"/>
      <c r="M9" s="187"/>
      <c r="N9" s="83" t="str">
        <f ca="1">Main!G22</f>
        <v/>
      </c>
      <c r="O9" s="83"/>
      <c r="P9" s="83" t="str">
        <f ca="1">'Case Times'!H12</f>
        <v/>
      </c>
      <c r="Q9" s="1"/>
      <c r="R9" s="1"/>
      <c r="S9" s="1"/>
      <c r="T9" s="1"/>
    </row>
    <row r="10" spans="1:20" x14ac:dyDescent="0.2">
      <c r="A10" s="129"/>
      <c r="B10" s="170" t="s">
        <v>74</v>
      </c>
      <c r="C10" s="170"/>
      <c r="D10" s="170"/>
      <c r="E10" s="170"/>
      <c r="F10" s="170"/>
      <c r="G10" s="170"/>
      <c r="H10" s="1"/>
      <c r="I10" s="90" t="s">
        <v>194</v>
      </c>
      <c r="J10" s="90"/>
      <c r="K10" s="90"/>
      <c r="L10" s="90"/>
      <c r="M10" s="90"/>
      <c r="N10" s="83">
        <f ca="1">Main!G23</f>
        <v>3.25</v>
      </c>
      <c r="O10" s="83"/>
      <c r="P10" s="83">
        <f ca="1">N10</f>
        <v>3.25</v>
      </c>
      <c r="Q10" s="1"/>
      <c r="R10" s="1"/>
      <c r="S10" s="1"/>
      <c r="T10" s="1"/>
    </row>
    <row r="11" spans="1:20" x14ac:dyDescent="0.2">
      <c r="A11" s="129"/>
      <c r="B11" s="49">
        <v>1</v>
      </c>
      <c r="C11" s="49" t="b">
        <v>0</v>
      </c>
      <c r="D11" s="49"/>
      <c r="E11" s="49"/>
      <c r="F11" s="49"/>
      <c r="G11" s="1"/>
      <c r="H11" s="1"/>
      <c r="I11" s="93" t="s">
        <v>64</v>
      </c>
      <c r="J11" s="93"/>
      <c r="K11" s="93"/>
      <c r="L11" s="93"/>
      <c r="M11" s="93"/>
      <c r="N11" s="92">
        <f ca="1">MAX(N7:N9)+N10</f>
        <v>17.333333333333336</v>
      </c>
      <c r="O11" s="92"/>
      <c r="P11" s="92">
        <f ca="1">MAX(P7:P9)+P10</f>
        <v>17.882053823333333</v>
      </c>
      <c r="Q11" s="1"/>
      <c r="R11" s="1"/>
      <c r="S11" s="1"/>
      <c r="T11" s="1"/>
    </row>
    <row r="12" spans="1:20" x14ac:dyDescent="0.2">
      <c r="A12" s="129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x14ac:dyDescent="0.2">
      <c r="A13" s="129"/>
      <c r="B13" s="1"/>
      <c r="C13" s="1"/>
      <c r="D13" s="1"/>
      <c r="E13" s="1"/>
      <c r="F13" s="1"/>
      <c r="G13" s="1"/>
      <c r="H13" s="1"/>
      <c r="I13" s="165" t="s">
        <v>77</v>
      </c>
      <c r="J13" s="165"/>
      <c r="K13" s="165"/>
      <c r="L13" s="165"/>
      <c r="M13" s="165"/>
      <c r="N13" s="80" t="s">
        <v>81</v>
      </c>
      <c r="O13" s="1"/>
      <c r="P13" s="80" t="s">
        <v>81</v>
      </c>
      <c r="Q13" s="1"/>
      <c r="R13" s="1"/>
      <c r="S13" s="1"/>
      <c r="T13" s="1"/>
    </row>
    <row r="14" spans="1:20" x14ac:dyDescent="0.2">
      <c r="A14" s="129"/>
      <c r="B14" s="1"/>
      <c r="C14" s="1"/>
      <c r="D14" s="1"/>
      <c r="E14" s="1"/>
      <c r="F14" s="1"/>
      <c r="G14" s="1"/>
      <c r="H14" s="1"/>
      <c r="I14" s="79" t="str">
        <f ca="1">TEXT('Cost Estimation'!$P$18,"0,0") &amp; "-m of 135-mm R4 Chain"</f>
        <v>1,920-m of 135-mm R4 Chain</v>
      </c>
      <c r="J14" s="79"/>
      <c r="K14" s="79"/>
      <c r="L14" s="79"/>
      <c r="M14" s="188">
        <f ca="1">'Cost Estimation'!$M$18</f>
        <v>2367558.7200000002</v>
      </c>
      <c r="N14" s="188"/>
      <c r="O14" s="188">
        <f ca="1">'Cost Estimation'!T18</f>
        <v>2071613.8800000001</v>
      </c>
      <c r="P14" s="188"/>
      <c r="Q14" s="1"/>
      <c r="R14" s="1"/>
      <c r="S14" s="1"/>
      <c r="T14" s="1"/>
    </row>
    <row r="15" spans="1:20" x14ac:dyDescent="0.2">
      <c r="A15" s="129"/>
      <c r="B15" s="170" t="s">
        <v>47</v>
      </c>
      <c r="C15" s="170"/>
      <c r="D15" s="170"/>
      <c r="E15" s="170"/>
      <c r="F15" s="170"/>
      <c r="G15" s="1"/>
      <c r="H15" s="1"/>
      <c r="I15" s="79" t="str">
        <f ca="1">TEXT('Cost Estimation'!$P$20,"0,0") &amp; "-m of 200-mm Polyester"</f>
        <v>16,595-m of 200-mm Polyester</v>
      </c>
      <c r="J15" s="79"/>
      <c r="K15" s="79"/>
      <c r="L15" s="79"/>
      <c r="M15" s="189">
        <f ca="1">'Cost Estimation'!$M$20</f>
        <v>6102728.6028658971</v>
      </c>
      <c r="N15" s="189"/>
      <c r="O15" s="189">
        <f ca="1">'Cost Estimation'!T20</f>
        <v>8825986.8433956131</v>
      </c>
      <c r="P15" s="189"/>
      <c r="Q15" s="1"/>
      <c r="R15" s="1"/>
      <c r="S15" s="1"/>
      <c r="T15" s="1"/>
    </row>
    <row r="16" spans="1:20" x14ac:dyDescent="0.2">
      <c r="A16" s="129"/>
      <c r="B16" s="49">
        <v>1</v>
      </c>
      <c r="C16" s="49"/>
      <c r="D16" s="49"/>
      <c r="E16" s="49"/>
      <c r="F16" s="49"/>
      <c r="G16" s="1"/>
      <c r="H16" s="1"/>
      <c r="I16" s="90" t="str">
        <f>'Cost Estimation'!$P$23 &amp; "x Suction Piles for Marine Clays"</f>
        <v>x Suction Piles for Marine Clays</v>
      </c>
      <c r="J16" s="90"/>
      <c r="K16" s="90"/>
      <c r="L16" s="90"/>
      <c r="M16" s="190">
        <f ca="1">'Cost Estimation'!$M$23</f>
        <v>3100000</v>
      </c>
      <c r="N16" s="190"/>
      <c r="O16" s="190">
        <f ca="1">'Cost Estimation'!T23</f>
        <v>3100000</v>
      </c>
      <c r="P16" s="190"/>
      <c r="Q16" s="1"/>
      <c r="R16" s="1"/>
      <c r="S16" s="1"/>
      <c r="T16" s="1"/>
    </row>
    <row r="17" spans="1:20" x14ac:dyDescent="0.2">
      <c r="A17" s="129"/>
      <c r="B17" s="1"/>
      <c r="C17" s="1"/>
      <c r="D17" s="1"/>
      <c r="E17" s="1"/>
      <c r="F17" s="1"/>
      <c r="G17" s="1"/>
      <c r="H17" s="1"/>
      <c r="I17" s="192" t="s">
        <v>211</v>
      </c>
      <c r="J17" s="192"/>
      <c r="K17" s="192"/>
      <c r="L17" s="192"/>
      <c r="M17" s="191">
        <f ca="1">'Cost Estimation'!$M$24</f>
        <v>11570287.322865898</v>
      </c>
      <c r="N17" s="191"/>
      <c r="O17" s="191">
        <f ca="1">'Cost Estimation'!T24</f>
        <v>13997600.723395614</v>
      </c>
      <c r="P17" s="191"/>
      <c r="Q17" s="1"/>
      <c r="R17" s="1"/>
      <c r="S17" s="1"/>
      <c r="T17" s="1"/>
    </row>
    <row r="18" spans="1:20" x14ac:dyDescent="0.2">
      <c r="A18" s="129"/>
      <c r="B18" s="129"/>
      <c r="C18" s="12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x14ac:dyDescent="0.2">
      <c r="A19" s="129"/>
      <c r="B19" s="129"/>
      <c r="C19" s="129"/>
      <c r="D19" s="1"/>
      <c r="E19" s="1"/>
      <c r="F19" s="1"/>
      <c r="G19" s="196" t="s">
        <v>306</v>
      </c>
      <c r="H19" s="196"/>
      <c r="I19" s="196"/>
      <c r="J19" s="196"/>
      <c r="K19" s="196"/>
      <c r="L19" s="196"/>
      <c r="M19" s="1"/>
      <c r="N19" s="1"/>
      <c r="O19" s="1"/>
      <c r="P19" s="1"/>
      <c r="Q19" s="1"/>
      <c r="R19" s="1"/>
      <c r="S19" s="1"/>
      <c r="T19" s="1"/>
    </row>
    <row r="20" spans="1:20" ht="17" x14ac:dyDescent="0.2">
      <c r="A20" s="129"/>
      <c r="B20" s="129"/>
      <c r="C20" s="129"/>
      <c r="D20" s="1"/>
      <c r="E20" s="1"/>
      <c r="F20" s="1"/>
      <c r="G20" s="197"/>
      <c r="H20" s="197"/>
      <c r="I20" s="197"/>
      <c r="J20" s="197"/>
      <c r="K20" s="197"/>
      <c r="L20" s="197"/>
      <c r="M20" s="80" t="s">
        <v>55</v>
      </c>
      <c r="N20" s="80" t="s">
        <v>241</v>
      </c>
      <c r="O20" s="80" t="s">
        <v>55</v>
      </c>
      <c r="P20" s="80" t="s">
        <v>241</v>
      </c>
      <c r="Q20" s="1"/>
      <c r="R20" s="1"/>
      <c r="S20" s="1"/>
      <c r="T20" s="1"/>
    </row>
    <row r="21" spans="1:20" x14ac:dyDescent="0.2">
      <c r="A21" s="129"/>
      <c r="B21" s="129"/>
      <c r="C21" s="129"/>
      <c r="D21" s="1"/>
      <c r="E21" s="1"/>
      <c r="F21" s="1"/>
      <c r="G21" s="198" t="str">
        <f ca="1">"Estimated Area for " &amp; 'Cost Estimation'!O10 &amp; "-m x 135-mm Chain Piles"</f>
        <v>Estimated Area for 24-m x 135-mm Chain Piles</v>
      </c>
      <c r="H21" s="198"/>
      <c r="I21" s="198"/>
      <c r="J21" s="198"/>
      <c r="K21" s="198"/>
      <c r="L21" s="198"/>
      <c r="M21" s="195">
        <f>'Unit Cell Details'!D53</f>
        <v>80</v>
      </c>
      <c r="N21" s="195">
        <f ca="1">Staging!K15</f>
        <v>393.6</v>
      </c>
      <c r="O21" s="195">
        <f ca="1">'Cost Estimation'!R18</f>
        <v>70</v>
      </c>
      <c r="P21" s="195">
        <f ca="1">'Unit Cell Details'!F54*Staging!G7</f>
        <v>344.4</v>
      </c>
      <c r="Q21" s="1"/>
      <c r="R21" s="1"/>
      <c r="S21" s="1"/>
      <c r="T21" s="1"/>
    </row>
    <row r="22" spans="1:20" x14ac:dyDescent="0.2">
      <c r="A22" s="129"/>
      <c r="B22" s="129"/>
      <c r="C22" s="129"/>
      <c r="D22" s="1"/>
      <c r="E22" s="1"/>
      <c r="F22" s="1"/>
      <c r="G22" s="79"/>
      <c r="H22" s="193" t="s">
        <v>264</v>
      </c>
      <c r="I22" s="194"/>
      <c r="J22" s="194"/>
      <c r="K22" s="194"/>
      <c r="L22" s="194"/>
      <c r="M22" s="195"/>
      <c r="N22" s="195"/>
      <c r="O22" s="195"/>
      <c r="P22" s="195"/>
      <c r="Q22" s="1"/>
      <c r="R22" s="1"/>
      <c r="S22" s="1"/>
      <c r="T22" s="1"/>
    </row>
    <row r="23" spans="1:20" x14ac:dyDescent="0.2">
      <c r="A23" s="129"/>
      <c r="B23" s="129"/>
      <c r="C23" s="129"/>
      <c r="D23" s="1"/>
      <c r="E23" s="1"/>
      <c r="F23" s="1"/>
      <c r="G23" s="198" t="s">
        <v>256</v>
      </c>
      <c r="H23" s="198"/>
      <c r="I23" s="198"/>
      <c r="J23" s="198"/>
      <c r="K23" s="198"/>
      <c r="L23" s="198"/>
      <c r="M23" s="195">
        <f ca="1">'Cost Estimation'!J10</f>
        <v>1382.9</v>
      </c>
      <c r="N23" s="195">
        <f ca="1">'Cost Estimation'!P10</f>
        <v>324</v>
      </c>
      <c r="O23" s="195">
        <f ca="1">'Cost Estimation'!J11</f>
        <v>2000</v>
      </c>
      <c r="P23" s="195">
        <f ca="1">'Cost Estimation'!P11</f>
        <v>486</v>
      </c>
      <c r="Q23" s="1"/>
      <c r="R23" s="1"/>
      <c r="S23" s="1"/>
      <c r="T23" s="1"/>
    </row>
    <row r="24" spans="1:20" x14ac:dyDescent="0.2">
      <c r="A24" s="129"/>
      <c r="B24" s="129"/>
      <c r="C24" s="129"/>
      <c r="D24" s="1"/>
      <c r="E24" s="1"/>
      <c r="F24" s="1"/>
      <c r="G24" s="199" t="s">
        <v>299</v>
      </c>
      <c r="H24" s="199"/>
      <c r="I24" s="199"/>
      <c r="J24" s="199"/>
      <c r="K24" s="199"/>
      <c r="L24" s="199"/>
      <c r="M24" s="195"/>
      <c r="N24" s="195"/>
      <c r="O24" s="195"/>
      <c r="P24" s="195"/>
      <c r="Q24" s="1"/>
      <c r="R24" s="1"/>
      <c r="S24" s="1"/>
      <c r="T24" s="1"/>
    </row>
    <row r="25" spans="1:20" x14ac:dyDescent="0.2">
      <c r="A25" s="129"/>
      <c r="B25" s="129"/>
      <c r="C25" s="129"/>
      <c r="D25" s="1"/>
      <c r="E25" s="1"/>
      <c r="F25" s="1"/>
      <c r="G25" s="199" t="str">
        <f>"for each mooring line with "&amp;'Unit Cell Details'!I62&amp;"-m, "&amp;'Unit Cell Details'!K62&amp;"x reels would be needed"</f>
        <v>for each mooring line with -m, x reels would be needed</v>
      </c>
      <c r="H25" s="199"/>
      <c r="I25" s="199"/>
      <c r="J25" s="199"/>
      <c r="K25" s="199"/>
      <c r="L25" s="199"/>
      <c r="M25" s="195"/>
      <c r="N25" s="195"/>
      <c r="O25" s="195"/>
      <c r="P25" s="195"/>
      <c r="Q25" s="1"/>
      <c r="R25" s="1"/>
      <c r="S25" s="1"/>
      <c r="T25" s="1"/>
    </row>
    <row r="26" spans="1:20" x14ac:dyDescent="0.2">
      <c r="A26" s="129"/>
      <c r="B26" s="129"/>
      <c r="C26" s="129"/>
      <c r="D26" s="1"/>
      <c r="E26" s="1"/>
      <c r="F26" s="1"/>
      <c r="G26" s="198" t="s">
        <v>255</v>
      </c>
      <c r="H26" s="198"/>
      <c r="I26" s="198"/>
      <c r="J26" s="198"/>
      <c r="K26" s="198"/>
      <c r="L26" s="198"/>
      <c r="M26" s="195"/>
      <c r="N26" s="195">
        <f ca="1">Staging!K20</f>
        <v>457.82615181912581</v>
      </c>
      <c r="O26" s="195"/>
      <c r="P26" s="195"/>
      <c r="Q26" s="1"/>
      <c r="R26" s="1"/>
      <c r="S26" s="1"/>
      <c r="T26" s="1"/>
    </row>
    <row r="27" spans="1:20" x14ac:dyDescent="0.2">
      <c r="A27" s="129"/>
      <c r="B27" s="129"/>
      <c r="C27" s="129"/>
      <c r="D27" s="1"/>
      <c r="E27" s="1"/>
      <c r="F27" s="1"/>
      <c r="G27" s="79"/>
      <c r="H27" s="193" t="s">
        <v>263</v>
      </c>
      <c r="I27" s="194"/>
      <c r="J27" s="194"/>
      <c r="K27" s="194"/>
      <c r="L27" s="194"/>
      <c r="M27" s="195"/>
      <c r="N27" s="195"/>
      <c r="O27" s="195"/>
      <c r="P27" s="195"/>
      <c r="Q27" s="1"/>
      <c r="R27" s="1"/>
      <c r="S27" s="1"/>
      <c r="T27" s="1"/>
    </row>
    <row r="28" spans="1:20" x14ac:dyDescent="0.2">
      <c r="A28" s="129"/>
      <c r="B28" s="129"/>
      <c r="C28" s="12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 x14ac:dyDescent="0.2">
      <c r="A29" s="129"/>
      <c r="B29" s="129"/>
      <c r="C29" s="12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2">
      <c r="A30" s="129"/>
      <c r="B30" s="129"/>
      <c r="C30" s="12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 x14ac:dyDescent="0.2">
      <c r="A31" s="129"/>
      <c r="B31" s="129"/>
      <c r="C31" s="12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x14ac:dyDescent="0.2">
      <c r="A32" s="129"/>
      <c r="B32" s="129"/>
      <c r="C32" s="12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x14ac:dyDescent="0.2">
      <c r="A33" s="129"/>
      <c r="B33" s="129"/>
      <c r="C33" s="12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2">
      <c r="A34" s="129"/>
      <c r="B34" s="129"/>
      <c r="C34" s="12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">
      <c r="A35" s="129"/>
      <c r="B35" s="129"/>
      <c r="C35" s="12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</sheetData>
  <mergeCells count="48">
    <mergeCell ref="G25:L25"/>
    <mergeCell ref="G26:L26"/>
    <mergeCell ref="B3:F3"/>
    <mergeCell ref="B1:G2"/>
    <mergeCell ref="P26:P27"/>
    <mergeCell ref="O21:O22"/>
    <mergeCell ref="O23:O25"/>
    <mergeCell ref="O26:O27"/>
    <mergeCell ref="M21:M22"/>
    <mergeCell ref="M23:M25"/>
    <mergeCell ref="M26:M27"/>
    <mergeCell ref="B15:F15"/>
    <mergeCell ref="O14:P14"/>
    <mergeCell ref="O15:P15"/>
    <mergeCell ref="O16:P16"/>
    <mergeCell ref="M15:N15"/>
    <mergeCell ref="Q2:T3"/>
    <mergeCell ref="B4:F4"/>
    <mergeCell ref="B7:E7"/>
    <mergeCell ref="B8:F8"/>
    <mergeCell ref="B10:G10"/>
    <mergeCell ref="M5:N5"/>
    <mergeCell ref="I2:N2"/>
    <mergeCell ref="I3:N3"/>
    <mergeCell ref="O5:P5"/>
    <mergeCell ref="O7:O8"/>
    <mergeCell ref="M16:N16"/>
    <mergeCell ref="I6:M6"/>
    <mergeCell ref="N7:N8"/>
    <mergeCell ref="I8:M8"/>
    <mergeCell ref="I9:M9"/>
    <mergeCell ref="I13:M13"/>
    <mergeCell ref="H27:L27"/>
    <mergeCell ref="I17:L17"/>
    <mergeCell ref="M17:N17"/>
    <mergeCell ref="P7:P8"/>
    <mergeCell ref="O17:P17"/>
    <mergeCell ref="M14:N14"/>
    <mergeCell ref="N21:N22"/>
    <mergeCell ref="H22:L22"/>
    <mergeCell ref="N23:N25"/>
    <mergeCell ref="G19:L20"/>
    <mergeCell ref="G21:L21"/>
    <mergeCell ref="G23:L23"/>
    <mergeCell ref="G24:L24"/>
    <mergeCell ref="N26:N27"/>
    <mergeCell ref="P21:P22"/>
    <mergeCell ref="P23:P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Check Box 1">
              <controlPr defaultSize="0" autoFill="0" autoLine="0" autoPict="0">
                <anchor moveWithCells="1">
                  <from>
                    <xdr:col>8</xdr:col>
                    <xdr:colOff>114300</xdr:colOff>
                    <xdr:row>4</xdr:row>
                    <xdr:rowOff>152400</xdr:rowOff>
                  </from>
                  <to>
                    <xdr:col>12</xdr:col>
                    <xdr:colOff>406400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Check Box 2">
              <controlPr defaultSize="0" autoFill="0" autoLine="0" autoPict="0">
                <anchor moveWithCells="1">
                  <from>
                    <xdr:col>8</xdr:col>
                    <xdr:colOff>114300</xdr:colOff>
                    <xdr:row>11</xdr:row>
                    <xdr:rowOff>152400</xdr:rowOff>
                  </from>
                  <to>
                    <xdr:col>12</xdr:col>
                    <xdr:colOff>406400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DropDownType">
              <controlPr defaultSize="0" autoLine="0" autoPict="0" macro="[0]!DropDownType_Change">
                <anchor moveWithCells="1">
                  <from>
                    <xdr:col>1</xdr:col>
                    <xdr:colOff>38100</xdr:colOff>
                    <xdr:row>4</xdr:row>
                    <xdr:rowOff>25400</xdr:rowOff>
                  </from>
                  <to>
                    <xdr:col>5</xdr:col>
                    <xdr:colOff>596900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DropDownPreset">
              <controlPr defaultSize="0" autoLine="0" autoPict="0" macro="[0]!DropDownPreset_Change">
                <anchor moveWithCells="1">
                  <from>
                    <xdr:col>1</xdr:col>
                    <xdr:colOff>25400</xdr:colOff>
                    <xdr:row>10</xdr:row>
                    <xdr:rowOff>38100</xdr:rowOff>
                  </from>
                  <to>
                    <xdr:col>5</xdr:col>
                    <xdr:colOff>596900</xdr:colOff>
                    <xdr:row>11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cbDinoDress">
              <controlPr defaultSize="0" autoFill="0" autoLine="0" autoPict="0" macro="[0]!cbDinoDress_Click">
                <anchor moveWithCells="1">
                  <from>
                    <xdr:col>1</xdr:col>
                    <xdr:colOff>25400</xdr:colOff>
                    <xdr:row>11</xdr:row>
                    <xdr:rowOff>152400</xdr:rowOff>
                  </from>
                  <to>
                    <xdr:col>5</xdr:col>
                    <xdr:colOff>317500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DropDownConnect">
              <controlPr defaultSize="0" autoLine="0" autoPict="0" macro="[0]!DropDownConnect_Change">
                <anchor moveWithCells="1">
                  <from>
                    <xdr:col>1</xdr:col>
                    <xdr:colOff>38100</xdr:colOff>
                    <xdr:row>15</xdr:row>
                    <xdr:rowOff>25400</xdr:rowOff>
                  </from>
                  <to>
                    <xdr:col>6</xdr:col>
                    <xdr:colOff>12700</xdr:colOff>
                    <xdr:row>16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9" name="cbDinoDressCheck">
              <controlPr defaultSize="0" autoFill="0" autoLine="0" autoPict="0" macro="[0]!cbDinoDress_Click">
                <anchor moveWithCells="1">
                  <from>
                    <xdr:col>1</xdr:col>
                    <xdr:colOff>25400</xdr:colOff>
                    <xdr:row>11</xdr:row>
                    <xdr:rowOff>152400</xdr:rowOff>
                  </from>
                  <to>
                    <xdr:col>5</xdr:col>
                    <xdr:colOff>317500</xdr:colOff>
                    <xdr:row>12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2582-B95D-4F8F-BAF3-CDF6C99103A7}">
  <sheetPr codeName="Sheet11">
    <tabColor theme="5" tint="0.79998168889431442"/>
  </sheetPr>
  <dimension ref="A1:AD38"/>
  <sheetViews>
    <sheetView zoomScale="125" zoomScaleNormal="100" workbookViewId="0">
      <selection activeCell="G6" sqref="G6"/>
    </sheetView>
  </sheetViews>
  <sheetFormatPr baseColWidth="10" defaultColWidth="0" defaultRowHeight="15" zeroHeight="1" x14ac:dyDescent="0.2"/>
  <cols>
    <col min="1" max="30" width="9.1640625" customWidth="1"/>
    <col min="31" max="16384" width="9.1640625" hidden="1"/>
  </cols>
  <sheetData>
    <row r="1" spans="1:30" x14ac:dyDescent="0.2">
      <c r="A1" s="129"/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</row>
    <row r="2" spans="1:30" x14ac:dyDescent="0.2">
      <c r="A2" s="129"/>
      <c r="B2" s="212" t="s">
        <v>234</v>
      </c>
      <c r="C2" s="212"/>
      <c r="D2" s="212"/>
      <c r="E2" s="212"/>
      <c r="F2" s="212"/>
      <c r="G2" s="213" t="str">
        <f ca="1">OFFSET('DropDown Lists'!B3,Main!B5-1,0)</f>
        <v>Case 2 - Shared Anchors</v>
      </c>
      <c r="H2" s="213"/>
      <c r="I2" s="213"/>
      <c r="J2" s="213"/>
      <c r="K2" s="213"/>
      <c r="L2" s="129"/>
      <c r="M2" s="26" t="s">
        <v>265</v>
      </c>
      <c r="N2" s="26"/>
      <c r="O2" s="26"/>
      <c r="P2" s="26"/>
      <c r="Q2" s="26"/>
      <c r="R2" s="26"/>
      <c r="S2" s="26"/>
      <c r="T2" s="26"/>
      <c r="U2" s="129"/>
      <c r="V2" s="129"/>
      <c r="W2" s="129"/>
      <c r="X2" s="129"/>
      <c r="Y2" s="129"/>
      <c r="Z2" s="129"/>
      <c r="AA2" s="129"/>
      <c r="AB2" s="129"/>
      <c r="AC2" s="129"/>
      <c r="AD2" s="129"/>
    </row>
    <row r="3" spans="1:30" x14ac:dyDescent="0.2">
      <c r="A3" s="129"/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29"/>
      <c r="M3" s="26"/>
      <c r="N3" s="26" t="s">
        <v>266</v>
      </c>
      <c r="O3" s="26"/>
      <c r="P3" s="26"/>
      <c r="Q3" s="26"/>
      <c r="R3" s="26"/>
      <c r="S3" s="26"/>
      <c r="T3" s="26"/>
      <c r="U3" s="129"/>
      <c r="V3" s="129"/>
      <c r="W3" s="129"/>
      <c r="X3" s="129"/>
      <c r="Y3" s="129"/>
      <c r="Z3" s="129"/>
      <c r="AA3" s="129"/>
      <c r="AB3" s="129"/>
      <c r="AC3" s="129"/>
      <c r="AD3" s="129"/>
    </row>
    <row r="4" spans="1:30" x14ac:dyDescent="0.2">
      <c r="A4" s="129"/>
      <c r="B4" s="130"/>
      <c r="C4" s="215" t="s">
        <v>267</v>
      </c>
      <c r="D4" s="215"/>
      <c r="E4" s="215"/>
      <c r="F4" s="215"/>
      <c r="G4" s="215"/>
      <c r="H4" s="215"/>
      <c r="I4" s="215"/>
      <c r="J4" s="215"/>
      <c r="K4" s="215"/>
      <c r="L4" s="129"/>
      <c r="M4" s="26"/>
      <c r="N4" s="26"/>
      <c r="O4" s="26"/>
      <c r="P4" s="26"/>
      <c r="Q4" s="26"/>
      <c r="R4" s="26"/>
      <c r="S4" s="26"/>
      <c r="T4" s="26"/>
      <c r="U4" s="129"/>
      <c r="V4" s="129"/>
      <c r="W4" s="129"/>
      <c r="X4" s="129"/>
      <c r="Y4" s="129"/>
      <c r="Z4" s="129"/>
      <c r="AA4" s="129"/>
      <c r="AB4" s="129"/>
      <c r="AC4" s="129"/>
      <c r="AD4" s="129"/>
    </row>
    <row r="5" spans="1:30" x14ac:dyDescent="0.2">
      <c r="A5" s="129"/>
      <c r="B5" s="212" t="s">
        <v>28</v>
      </c>
      <c r="C5" s="212"/>
      <c r="D5" s="212"/>
      <c r="E5" s="212"/>
      <c r="F5" s="212"/>
      <c r="G5" s="135">
        <f ca="1">'Cost Estimation'!H23*'Cost Estimation'!G23</f>
        <v>8</v>
      </c>
      <c r="H5" s="129"/>
      <c r="I5" s="129"/>
      <c r="J5" s="129"/>
      <c r="K5" s="129"/>
      <c r="L5" s="129"/>
      <c r="M5" s="26"/>
      <c r="N5" s="26"/>
      <c r="O5" s="26"/>
      <c r="P5" s="26"/>
      <c r="Q5" s="26"/>
      <c r="R5" s="26"/>
      <c r="S5" s="26"/>
      <c r="T5" s="26"/>
      <c r="U5" s="129"/>
      <c r="V5" s="129"/>
      <c r="W5" s="129"/>
      <c r="X5" s="129"/>
      <c r="Y5" s="129"/>
      <c r="Z5" s="129"/>
      <c r="AA5" s="129"/>
      <c r="AB5" s="129"/>
      <c r="AC5" s="129"/>
      <c r="AD5" s="129"/>
    </row>
    <row r="6" spans="1:30" x14ac:dyDescent="0.2">
      <c r="A6" s="129"/>
      <c r="B6" s="212" t="str">
        <f>'Unit Cell Details'!D56&amp;"-m x 200-mm Polyester Sections"</f>
        <v>1382.9-m x 200-mm Polyester Sections</v>
      </c>
      <c r="C6" s="212"/>
      <c r="D6" s="212"/>
      <c r="E6" s="212"/>
      <c r="F6" s="212"/>
      <c r="G6" s="135">
        <f ca="1">'Cost Estimation'!G20*'Cost Estimation'!H20</f>
        <v>12</v>
      </c>
      <c r="H6" s="129"/>
      <c r="I6" s="129"/>
      <c r="J6" s="129"/>
      <c r="K6" s="129"/>
      <c r="L6" s="129"/>
      <c r="M6" s="26"/>
      <c r="N6" s="26"/>
      <c r="O6" s="26"/>
      <c r="P6" s="26"/>
      <c r="Q6" s="26"/>
      <c r="R6" s="26"/>
      <c r="S6" s="26"/>
      <c r="T6" s="26"/>
      <c r="U6" s="129"/>
      <c r="V6" s="129"/>
      <c r="W6" s="129"/>
      <c r="X6" s="129"/>
      <c r="Y6" s="129"/>
      <c r="Z6" s="129"/>
      <c r="AA6" s="129"/>
      <c r="AB6" s="129"/>
      <c r="AC6" s="129"/>
      <c r="AD6" s="129"/>
    </row>
    <row r="7" spans="1:30" x14ac:dyDescent="0.2">
      <c r="A7" s="129"/>
      <c r="B7" s="212" t="str">
        <f ca="1">'Cost Estimation'!J4 &amp; "-m x 135-mm Chain Sections"</f>
        <v>80-m x 135-mm Chain Sections</v>
      </c>
      <c r="C7" s="212"/>
      <c r="D7" s="212"/>
      <c r="E7" s="212"/>
      <c r="F7" s="212"/>
      <c r="G7" s="135">
        <f ca="1">'Cost Estimation'!G18*'Cost Estimation'!H18</f>
        <v>24</v>
      </c>
      <c r="H7" s="129"/>
      <c r="I7" s="129"/>
      <c r="J7" s="129"/>
      <c r="K7" s="129"/>
      <c r="L7" s="129"/>
      <c r="M7" s="26"/>
      <c r="N7" s="26"/>
      <c r="O7" s="26"/>
      <c r="P7" s="26"/>
      <c r="Q7" s="26"/>
      <c r="R7" s="26"/>
      <c r="S7" s="26"/>
      <c r="T7" s="26"/>
      <c r="U7" s="129"/>
      <c r="V7" s="129"/>
      <c r="W7" s="129"/>
      <c r="X7" s="129"/>
      <c r="Y7" s="129"/>
      <c r="Z7" s="129"/>
      <c r="AA7" s="129"/>
      <c r="AB7" s="129"/>
      <c r="AC7" s="129"/>
      <c r="AD7" s="129"/>
    </row>
    <row r="8" spans="1:30" x14ac:dyDescent="0.2">
      <c r="A8" s="129"/>
      <c r="B8" s="130"/>
      <c r="C8" s="130"/>
      <c r="D8" s="130"/>
      <c r="E8" s="130"/>
      <c r="F8" s="130"/>
      <c r="G8" s="130"/>
      <c r="H8" s="130"/>
      <c r="I8" s="129"/>
      <c r="J8" s="129"/>
      <c r="K8" s="129"/>
      <c r="L8" s="129"/>
      <c r="M8" s="26"/>
      <c r="N8" s="26"/>
      <c r="O8" s="26"/>
      <c r="P8" s="26"/>
      <c r="Q8" s="26"/>
      <c r="R8" s="26"/>
      <c r="S8" s="26"/>
      <c r="T8" s="26"/>
      <c r="U8" s="129"/>
      <c r="V8" s="129"/>
      <c r="W8" s="129"/>
      <c r="X8" s="129"/>
      <c r="Y8" s="129"/>
      <c r="Z8" s="129"/>
      <c r="AA8" s="129"/>
      <c r="AB8" s="129"/>
      <c r="AC8" s="129"/>
      <c r="AD8" s="129"/>
    </row>
    <row r="9" spans="1:30" ht="17" x14ac:dyDescent="0.2">
      <c r="A9" s="129"/>
      <c r="B9" s="129"/>
      <c r="C9" s="170" t="s">
        <v>233</v>
      </c>
      <c r="D9" s="170"/>
      <c r="E9" s="170"/>
      <c r="F9" s="170"/>
      <c r="G9" s="131"/>
      <c r="H9" s="129"/>
      <c r="I9" s="129"/>
      <c r="J9" s="80" t="s">
        <v>241</v>
      </c>
      <c r="K9" s="129"/>
      <c r="L9" s="129"/>
      <c r="M9" s="26"/>
      <c r="N9" s="26"/>
      <c r="O9" s="26"/>
      <c r="P9" s="26"/>
      <c r="Q9" s="26"/>
      <c r="R9" s="26"/>
      <c r="S9" s="26"/>
      <c r="T9" s="26"/>
      <c r="U9" s="129"/>
      <c r="V9" s="129"/>
      <c r="W9" s="129"/>
      <c r="X9" s="129"/>
      <c r="Y9" s="129"/>
      <c r="Z9" s="129"/>
      <c r="AA9" s="129"/>
      <c r="AB9" s="129"/>
      <c r="AC9" s="129"/>
      <c r="AD9" s="129"/>
    </row>
    <row r="10" spans="1:30" x14ac:dyDescent="0.2">
      <c r="A10" s="129"/>
      <c r="B10" s="129"/>
      <c r="C10" s="49">
        <v>1</v>
      </c>
      <c r="D10" s="49"/>
      <c r="E10" s="49"/>
      <c r="F10" s="49"/>
      <c r="G10" s="132"/>
      <c r="H10" s="210" t="s">
        <v>242</v>
      </c>
      <c r="I10" s="210"/>
      <c r="J10" s="185">
        <f ca="1">OFFSET('DropDown Lists'!$J$3,Staging!C10-1,0)</f>
        <v>57.228268977390726</v>
      </c>
      <c r="K10" s="129"/>
      <c r="L10" s="129"/>
      <c r="M10" s="129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</row>
    <row r="11" spans="1:30" x14ac:dyDescent="0.2">
      <c r="A11" s="129"/>
      <c r="B11" s="129"/>
      <c r="C11" s="1"/>
      <c r="D11" s="1"/>
      <c r="E11" s="1"/>
      <c r="F11" s="1"/>
      <c r="G11" s="132"/>
      <c r="H11" s="211"/>
      <c r="I11" s="211"/>
      <c r="J11" s="185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</row>
    <row r="12" spans="1:30" x14ac:dyDescent="0.2">
      <c r="A12" s="129"/>
      <c r="B12" s="129"/>
      <c r="C12" s="214"/>
      <c r="D12" s="214"/>
      <c r="E12" s="214"/>
      <c r="F12" s="214"/>
      <c r="G12" s="214"/>
      <c r="H12" s="214"/>
      <c r="I12" s="214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</row>
    <row r="13" spans="1:30" ht="15" customHeight="1" x14ac:dyDescent="0.2">
      <c r="A13" s="129"/>
      <c r="B13" s="196" t="s">
        <v>306</v>
      </c>
      <c r="C13" s="196"/>
      <c r="D13" s="196"/>
      <c r="E13" s="196"/>
      <c r="F13" s="196"/>
      <c r="G13" s="196"/>
      <c r="H13" s="129"/>
      <c r="I13" s="129"/>
      <c r="J13" s="146" t="s">
        <v>64</v>
      </c>
      <c r="K13" s="152" t="s">
        <v>307</v>
      </c>
      <c r="L13" s="129"/>
      <c r="M13" s="207" t="s">
        <v>309</v>
      </c>
      <c r="N13" s="207"/>
      <c r="O13" s="207"/>
      <c r="P13" s="207"/>
      <c r="Q13" s="207"/>
      <c r="R13" s="207"/>
      <c r="S13" s="129"/>
      <c r="T13" s="153" t="s">
        <v>308</v>
      </c>
      <c r="U13" s="152" t="s">
        <v>307</v>
      </c>
      <c r="V13" s="129"/>
      <c r="W13" s="129"/>
      <c r="X13" s="129"/>
      <c r="Y13" s="129"/>
      <c r="Z13" s="129"/>
      <c r="AA13" s="129"/>
      <c r="AB13" s="129"/>
      <c r="AC13" s="129"/>
      <c r="AD13" s="129"/>
    </row>
    <row r="14" spans="1:30" ht="17" x14ac:dyDescent="0.2">
      <c r="A14" s="129"/>
      <c r="B14" s="197"/>
      <c r="C14" s="197"/>
      <c r="D14" s="197"/>
      <c r="E14" s="197"/>
      <c r="F14" s="197"/>
      <c r="G14" s="197"/>
      <c r="H14" s="151"/>
      <c r="I14" s="131"/>
      <c r="J14" s="80" t="s">
        <v>300</v>
      </c>
      <c r="K14" s="80" t="s">
        <v>241</v>
      </c>
      <c r="L14" s="129"/>
      <c r="M14" s="170" t="s">
        <v>250</v>
      </c>
      <c r="N14" s="170"/>
      <c r="O14" s="170"/>
      <c r="P14" s="170" t="s">
        <v>251</v>
      </c>
      <c r="Q14" s="170"/>
      <c r="R14" s="170"/>
      <c r="S14" s="129"/>
      <c r="T14" s="80" t="s">
        <v>241</v>
      </c>
      <c r="U14" s="80" t="s">
        <v>241</v>
      </c>
      <c r="V14" s="129"/>
      <c r="W14" s="129"/>
      <c r="X14" s="129"/>
      <c r="Y14" s="129"/>
      <c r="Z14" s="129"/>
      <c r="AA14" s="129"/>
      <c r="AB14" s="129"/>
      <c r="AC14" s="129"/>
      <c r="AD14" s="129"/>
    </row>
    <row r="15" spans="1:30" x14ac:dyDescent="0.2">
      <c r="A15" s="129"/>
      <c r="B15" s="198" t="str">
        <f ca="1">"Estimated Area for " &amp; 'Cost Estimation'!J4 &amp; "-m x 135-mm Chain Piles"</f>
        <v>Estimated Area for 80-m x 135-mm Chain Piles</v>
      </c>
      <c r="C15" s="198"/>
      <c r="D15" s="198"/>
      <c r="E15" s="198"/>
      <c r="F15" s="198"/>
      <c r="G15" s="198"/>
      <c r="H15" s="195"/>
      <c r="I15" s="195"/>
      <c r="J15" s="195"/>
      <c r="K15" s="195">
        <f ca="1">'Unit Cell Details'!F53*G7</f>
        <v>393.6</v>
      </c>
      <c r="L15" s="129"/>
      <c r="M15" s="49">
        <v>5</v>
      </c>
      <c r="N15" s="49"/>
      <c r="O15" s="49"/>
      <c r="P15" s="49">
        <v>1</v>
      </c>
      <c r="Q15" s="132"/>
      <c r="R15" s="210"/>
      <c r="S15" s="210"/>
      <c r="T15" s="209">
        <f ca="1">OFFSET('DropDown Lists'!$L$3,M15-1,Staging!$P$15)</f>
        <v>20.5</v>
      </c>
      <c r="U15" s="209">
        <f ca="1">T15*G7</f>
        <v>492</v>
      </c>
      <c r="V15" s="129"/>
      <c r="W15" s="129"/>
      <c r="X15" s="129"/>
      <c r="Y15" s="129"/>
      <c r="Z15" s="129"/>
      <c r="AA15" s="129"/>
      <c r="AB15" s="129"/>
      <c r="AC15" s="129"/>
      <c r="AD15" s="129"/>
    </row>
    <row r="16" spans="1:30" x14ac:dyDescent="0.2">
      <c r="A16" s="129"/>
      <c r="B16" s="79"/>
      <c r="C16" s="193" t="s">
        <v>264</v>
      </c>
      <c r="D16" s="194"/>
      <c r="E16" s="194"/>
      <c r="F16" s="194"/>
      <c r="G16" s="194"/>
      <c r="H16" s="195"/>
      <c r="I16" s="195"/>
      <c r="J16" s="195"/>
      <c r="K16" s="195"/>
      <c r="L16" s="129"/>
      <c r="M16" s="1"/>
      <c r="N16" s="1"/>
      <c r="O16" s="1"/>
      <c r="P16" s="1"/>
      <c r="Q16" s="132"/>
      <c r="R16" s="211"/>
      <c r="S16" s="211"/>
      <c r="T16" s="209"/>
      <c r="U16" s="209"/>
      <c r="V16" s="129"/>
      <c r="W16" s="129"/>
      <c r="X16" s="129"/>
      <c r="Y16" s="129"/>
      <c r="Z16" s="129"/>
      <c r="AA16" s="129"/>
      <c r="AB16" s="129"/>
      <c r="AC16" s="129"/>
      <c r="AD16" s="129"/>
    </row>
    <row r="17" spans="1:30" x14ac:dyDescent="0.2">
      <c r="A17" s="129"/>
      <c r="B17" s="198" t="s">
        <v>256</v>
      </c>
      <c r="C17" s="198"/>
      <c r="D17" s="198"/>
      <c r="E17" s="198"/>
      <c r="F17" s="198"/>
      <c r="G17" s="198"/>
      <c r="H17" s="195"/>
      <c r="I17" s="195"/>
      <c r="J17" s="195" t="str">
        <f ca="1">'Cost Estimation'!O10 &amp; " Reels"</f>
        <v>24 Reels</v>
      </c>
      <c r="K17" s="195">
        <f ca="1">'Cost Estimation'!P10</f>
        <v>324</v>
      </c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</row>
    <row r="18" spans="1:30" x14ac:dyDescent="0.2">
      <c r="A18" s="129"/>
      <c r="B18" s="199" t="s">
        <v>299</v>
      </c>
      <c r="C18" s="199"/>
      <c r="D18" s="199"/>
      <c r="E18" s="199"/>
      <c r="F18" s="199"/>
      <c r="G18" s="199"/>
      <c r="H18" s="195"/>
      <c r="I18" s="195"/>
      <c r="J18" s="195"/>
      <c r="K18" s="195"/>
      <c r="L18" s="129"/>
      <c r="M18" s="129"/>
      <c r="N18" s="129"/>
      <c r="O18" s="129"/>
      <c r="P18" s="129"/>
      <c r="Q18" s="129"/>
      <c r="R18" s="129"/>
      <c r="S18" s="129"/>
      <c r="T18" s="129"/>
      <c r="U18" s="129"/>
      <c r="V18" s="129"/>
      <c r="W18" s="129"/>
      <c r="X18" s="129"/>
      <c r="Y18" s="129"/>
      <c r="Z18" s="129"/>
      <c r="AA18" s="129"/>
      <c r="AB18" s="129"/>
      <c r="AC18" s="129"/>
      <c r="AD18" s="129"/>
    </row>
    <row r="19" spans="1:30" x14ac:dyDescent="0.2">
      <c r="A19" s="129"/>
      <c r="B19" s="199" t="str">
        <f>"for each mooring line with "&amp;'Unit Cell Details'!D56&amp;"-m, "&amp;'Unit Cell Details'!F56&amp;"x reels would be needed"</f>
        <v>for each mooring line with 1382.9-m, 2x reels would be needed</v>
      </c>
      <c r="C19" s="199"/>
      <c r="D19" s="199"/>
      <c r="E19" s="199"/>
      <c r="F19" s="199"/>
      <c r="G19" s="199"/>
      <c r="H19" s="195"/>
      <c r="I19" s="195"/>
      <c r="J19" s="195"/>
      <c r="K19" s="195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</row>
    <row r="20" spans="1:30" x14ac:dyDescent="0.2">
      <c r="A20" s="129"/>
      <c r="B20" s="198" t="s">
        <v>255</v>
      </c>
      <c r="C20" s="198"/>
      <c r="D20" s="198"/>
      <c r="E20" s="198"/>
      <c r="F20" s="198"/>
      <c r="G20" s="198"/>
      <c r="H20" s="195"/>
      <c r="I20" s="195"/>
      <c r="J20" s="195"/>
      <c r="K20" s="195">
        <f ca="1">OFFSET('DropDown Lists'!$J$3,Staging!C10-1,0)*G5</f>
        <v>457.82615181912581</v>
      </c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129"/>
      <c r="W20" s="129"/>
      <c r="X20" s="129"/>
      <c r="Y20" s="129"/>
      <c r="Z20" s="129"/>
      <c r="AA20" s="129"/>
      <c r="AB20" s="129"/>
      <c r="AC20" s="129"/>
      <c r="AD20" s="129"/>
    </row>
    <row r="21" spans="1:30" x14ac:dyDescent="0.2">
      <c r="A21" s="129"/>
      <c r="B21" s="79"/>
      <c r="C21" s="193" t="s">
        <v>263</v>
      </c>
      <c r="D21" s="194"/>
      <c r="E21" s="194"/>
      <c r="F21" s="194"/>
      <c r="G21" s="194"/>
      <c r="H21" s="195"/>
      <c r="I21" s="195"/>
      <c r="J21" s="195"/>
      <c r="K21" s="195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</row>
    <row r="22" spans="1:30" x14ac:dyDescent="0.2">
      <c r="A22" s="129"/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  <c r="AC22" s="129"/>
      <c r="AD22" s="129"/>
    </row>
    <row r="23" spans="1:30" x14ac:dyDescent="0.2">
      <c r="A23" s="129"/>
      <c r="B23" s="12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129"/>
      <c r="X23" s="129"/>
      <c r="Y23" s="129"/>
      <c r="Z23" s="129"/>
      <c r="AA23" s="129"/>
      <c r="AB23" s="129"/>
      <c r="AC23" s="129"/>
      <c r="AD23" s="129"/>
    </row>
    <row r="24" spans="1:30" x14ac:dyDescent="0.2">
      <c r="A24" s="129"/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</row>
    <row r="25" spans="1:30" x14ac:dyDescent="0.2">
      <c r="A25" s="129"/>
      <c r="B25" s="129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129"/>
      <c r="AD25" s="129"/>
    </row>
    <row r="26" spans="1:30" x14ac:dyDescent="0.2">
      <c r="A26" s="129"/>
      <c r="B26" s="129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</row>
    <row r="27" spans="1:30" x14ac:dyDescent="0.2">
      <c r="A27" s="129"/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</row>
    <row r="28" spans="1:30" x14ac:dyDescent="0.2">
      <c r="A28" s="129"/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</row>
    <row r="29" spans="1:30" x14ac:dyDescent="0.2">
      <c r="A29" s="129"/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</row>
    <row r="30" spans="1:30" x14ac:dyDescent="0.2">
      <c r="A30" s="129"/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</row>
    <row r="31" spans="1:30" x14ac:dyDescent="0.2">
      <c r="A31" s="129"/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</row>
    <row r="32" spans="1:30" x14ac:dyDescent="0.2">
      <c r="A32" s="129"/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</row>
    <row r="33" spans="1:30" x14ac:dyDescent="0.2">
      <c r="A33" s="129"/>
      <c r="B33" s="129"/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</row>
    <row r="34" spans="1:30" x14ac:dyDescent="0.2">
      <c r="A34" s="129"/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</row>
    <row r="35" spans="1:30" x14ac:dyDescent="0.2">
      <c r="A35" s="129"/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</row>
    <row r="36" spans="1:30" x14ac:dyDescent="0.2">
      <c r="A36" s="129"/>
      <c r="B36" s="129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</row>
    <row r="37" spans="1:30" x14ac:dyDescent="0.2">
      <c r="A37" s="129"/>
      <c r="B37" s="129"/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</row>
    <row r="38" spans="1:30" x14ac:dyDescent="0.2">
      <c r="A38" s="129"/>
      <c r="B38" s="129"/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</row>
  </sheetData>
  <mergeCells count="36">
    <mergeCell ref="I17:I19"/>
    <mergeCell ref="J17:J19"/>
    <mergeCell ref="H20:H21"/>
    <mergeCell ref="I20:I21"/>
    <mergeCell ref="J20:J21"/>
    <mergeCell ref="B2:F2"/>
    <mergeCell ref="G2:K2"/>
    <mergeCell ref="J10:J11"/>
    <mergeCell ref="H10:I11"/>
    <mergeCell ref="K15:K16"/>
    <mergeCell ref="C16:G16"/>
    <mergeCell ref="C9:F9"/>
    <mergeCell ref="H15:H16"/>
    <mergeCell ref="I15:I16"/>
    <mergeCell ref="J15:J16"/>
    <mergeCell ref="B5:F5"/>
    <mergeCell ref="C12:I12"/>
    <mergeCell ref="B6:F6"/>
    <mergeCell ref="B7:F7"/>
    <mergeCell ref="C4:K4"/>
    <mergeCell ref="B20:G20"/>
    <mergeCell ref="B17:G17"/>
    <mergeCell ref="B15:G15"/>
    <mergeCell ref="B13:G14"/>
    <mergeCell ref="U15:U16"/>
    <mergeCell ref="B19:G19"/>
    <mergeCell ref="B18:G18"/>
    <mergeCell ref="R15:S16"/>
    <mergeCell ref="M13:R13"/>
    <mergeCell ref="T15:T16"/>
    <mergeCell ref="M14:O14"/>
    <mergeCell ref="P14:R14"/>
    <mergeCell ref="K20:K21"/>
    <mergeCell ref="C21:G21"/>
    <mergeCell ref="K17:K19"/>
    <mergeCell ref="H17:H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DropDownPiles">
              <controlPr defaultSize="0" autoLine="0" autoPict="0">
                <anchor moveWithCells="1">
                  <from>
                    <xdr:col>2</xdr:col>
                    <xdr:colOff>38100</xdr:colOff>
                    <xdr:row>9</xdr:row>
                    <xdr:rowOff>25400</xdr:rowOff>
                  </from>
                  <to>
                    <xdr:col>5</xdr:col>
                    <xdr:colOff>520700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</xdr:col>
                    <xdr:colOff>114300</xdr:colOff>
                    <xdr:row>8</xdr:row>
                    <xdr:rowOff>0</xdr:rowOff>
                  </from>
                  <to>
                    <xdr:col>6</xdr:col>
                    <xdr:colOff>406400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12</xdr:col>
                    <xdr:colOff>38100</xdr:colOff>
                    <xdr:row>14</xdr:row>
                    <xdr:rowOff>50800</xdr:rowOff>
                  </from>
                  <to>
                    <xdr:col>14</xdr:col>
                    <xdr:colOff>571500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15</xdr:col>
                    <xdr:colOff>63500</xdr:colOff>
                    <xdr:row>14</xdr:row>
                    <xdr:rowOff>38100</xdr:rowOff>
                  </from>
                  <to>
                    <xdr:col>17</xdr:col>
                    <xdr:colOff>558800</xdr:colOff>
                    <xdr:row>15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82506-1976-4E07-9993-5F8771B81690}">
  <sheetPr codeName="Sheet3"/>
  <dimension ref="A1:Y59"/>
  <sheetViews>
    <sheetView topLeftCell="A30" workbookViewId="0">
      <selection activeCell="B4" sqref="B4:H21"/>
    </sheetView>
  </sheetViews>
  <sheetFormatPr baseColWidth="10" defaultColWidth="8.83203125" defaultRowHeight="15" x14ac:dyDescent="0.2"/>
  <cols>
    <col min="2" max="2" width="10" bestFit="1" customWidth="1"/>
    <col min="10" max="10" width="10" bestFit="1" customWidth="1"/>
    <col min="18" max="18" width="10" bestFit="1" customWidth="1"/>
  </cols>
  <sheetData>
    <row r="1" spans="1:25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</row>
    <row r="2" spans="1:25" x14ac:dyDescent="0.2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</row>
    <row r="3" spans="1:25" x14ac:dyDescent="0.2">
      <c r="A3" s="26"/>
      <c r="B3" s="227" t="s">
        <v>1</v>
      </c>
      <c r="C3" s="228"/>
      <c r="D3" s="228"/>
      <c r="E3" s="228"/>
      <c r="F3" s="228"/>
      <c r="G3" s="228"/>
      <c r="H3" s="229"/>
      <c r="I3" s="26"/>
      <c r="J3" s="227" t="s">
        <v>4</v>
      </c>
      <c r="K3" s="228"/>
      <c r="L3" s="228"/>
      <c r="M3" s="228"/>
      <c r="N3" s="228"/>
      <c r="O3" s="228"/>
      <c r="P3" s="229"/>
      <c r="Q3" s="26"/>
      <c r="R3" s="227" t="s">
        <v>5</v>
      </c>
      <c r="S3" s="228"/>
      <c r="T3" s="228"/>
      <c r="U3" s="228"/>
      <c r="V3" s="228"/>
      <c r="W3" s="228"/>
      <c r="X3" s="229"/>
      <c r="Y3" s="26"/>
    </row>
    <row r="4" spans="1:25" x14ac:dyDescent="0.2">
      <c r="A4" s="26"/>
      <c r="B4" s="216" t="e" vm="2">
        <v>#VALUE!</v>
      </c>
      <c r="C4" s="217"/>
      <c r="D4" s="217"/>
      <c r="E4" s="217"/>
      <c r="F4" s="217"/>
      <c r="G4" s="217"/>
      <c r="H4" s="218"/>
      <c r="I4" s="26"/>
      <c r="J4" s="216" t="e" vm="3">
        <v>#VALUE!</v>
      </c>
      <c r="K4" s="217"/>
      <c r="L4" s="217"/>
      <c r="M4" s="217"/>
      <c r="N4" s="217"/>
      <c r="O4" s="217"/>
      <c r="P4" s="218"/>
      <c r="Q4" s="26"/>
      <c r="R4" s="216" t="e" vm="4">
        <v>#VALUE!</v>
      </c>
      <c r="S4" s="217"/>
      <c r="T4" s="217"/>
      <c r="U4" s="217"/>
      <c r="V4" s="217"/>
      <c r="W4" s="217"/>
      <c r="X4" s="218"/>
      <c r="Y4" s="26"/>
    </row>
    <row r="5" spans="1:25" x14ac:dyDescent="0.2">
      <c r="A5" s="26"/>
      <c r="B5" s="219"/>
      <c r="C5" s="220"/>
      <c r="D5" s="220"/>
      <c r="E5" s="220"/>
      <c r="F5" s="220"/>
      <c r="G5" s="220"/>
      <c r="H5" s="221"/>
      <c r="I5" s="26"/>
      <c r="J5" s="219"/>
      <c r="K5" s="220"/>
      <c r="L5" s="220"/>
      <c r="M5" s="220"/>
      <c r="N5" s="220"/>
      <c r="O5" s="220"/>
      <c r="P5" s="221"/>
      <c r="Q5" s="26"/>
      <c r="R5" s="219"/>
      <c r="S5" s="220"/>
      <c r="T5" s="220"/>
      <c r="U5" s="220"/>
      <c r="V5" s="220"/>
      <c r="W5" s="220"/>
      <c r="X5" s="221"/>
      <c r="Y5" s="26"/>
    </row>
    <row r="6" spans="1:25" x14ac:dyDescent="0.2">
      <c r="A6" s="26"/>
      <c r="B6" s="219"/>
      <c r="C6" s="220"/>
      <c r="D6" s="220"/>
      <c r="E6" s="220"/>
      <c r="F6" s="220"/>
      <c r="G6" s="220"/>
      <c r="H6" s="221"/>
      <c r="I6" s="26"/>
      <c r="J6" s="219"/>
      <c r="K6" s="220"/>
      <c r="L6" s="220"/>
      <c r="M6" s="220"/>
      <c r="N6" s="220"/>
      <c r="O6" s="220"/>
      <c r="P6" s="221"/>
      <c r="Q6" s="26"/>
      <c r="R6" s="219"/>
      <c r="S6" s="220"/>
      <c r="T6" s="220"/>
      <c r="U6" s="220"/>
      <c r="V6" s="220"/>
      <c r="W6" s="220"/>
      <c r="X6" s="221"/>
      <c r="Y6" s="26"/>
    </row>
    <row r="7" spans="1:25" x14ac:dyDescent="0.2">
      <c r="A7" s="26"/>
      <c r="B7" s="219"/>
      <c r="C7" s="220"/>
      <c r="D7" s="220"/>
      <c r="E7" s="220"/>
      <c r="F7" s="220"/>
      <c r="G7" s="220"/>
      <c r="H7" s="221"/>
      <c r="I7" s="26"/>
      <c r="J7" s="219"/>
      <c r="K7" s="220"/>
      <c r="L7" s="220"/>
      <c r="M7" s="220"/>
      <c r="N7" s="220"/>
      <c r="O7" s="220"/>
      <c r="P7" s="221"/>
      <c r="Q7" s="26"/>
      <c r="R7" s="219"/>
      <c r="S7" s="220"/>
      <c r="T7" s="220"/>
      <c r="U7" s="220"/>
      <c r="V7" s="220"/>
      <c r="W7" s="220"/>
      <c r="X7" s="221"/>
      <c r="Y7" s="26"/>
    </row>
    <row r="8" spans="1:25" x14ac:dyDescent="0.2">
      <c r="A8" s="26"/>
      <c r="B8" s="219"/>
      <c r="C8" s="220"/>
      <c r="D8" s="220"/>
      <c r="E8" s="220"/>
      <c r="F8" s="220"/>
      <c r="G8" s="220"/>
      <c r="H8" s="221"/>
      <c r="I8" s="26"/>
      <c r="J8" s="219"/>
      <c r="K8" s="220"/>
      <c r="L8" s="220"/>
      <c r="M8" s="220"/>
      <c r="N8" s="220"/>
      <c r="O8" s="220"/>
      <c r="P8" s="221"/>
      <c r="Q8" s="26"/>
      <c r="R8" s="219"/>
      <c r="S8" s="220"/>
      <c r="T8" s="220"/>
      <c r="U8" s="220"/>
      <c r="V8" s="220"/>
      <c r="W8" s="220"/>
      <c r="X8" s="221"/>
      <c r="Y8" s="26"/>
    </row>
    <row r="9" spans="1:25" x14ac:dyDescent="0.2">
      <c r="A9" s="26"/>
      <c r="B9" s="219"/>
      <c r="C9" s="220"/>
      <c r="D9" s="220"/>
      <c r="E9" s="220"/>
      <c r="F9" s="220"/>
      <c r="G9" s="220"/>
      <c r="H9" s="221"/>
      <c r="I9" s="26"/>
      <c r="J9" s="219"/>
      <c r="K9" s="220"/>
      <c r="L9" s="220"/>
      <c r="M9" s="220"/>
      <c r="N9" s="220"/>
      <c r="O9" s="220"/>
      <c r="P9" s="221"/>
      <c r="Q9" s="26"/>
      <c r="R9" s="219"/>
      <c r="S9" s="220"/>
      <c r="T9" s="220"/>
      <c r="U9" s="220"/>
      <c r="V9" s="220"/>
      <c r="W9" s="220"/>
      <c r="X9" s="221"/>
      <c r="Y9" s="26"/>
    </row>
    <row r="10" spans="1:25" x14ac:dyDescent="0.2">
      <c r="A10" s="26"/>
      <c r="B10" s="219"/>
      <c r="C10" s="220"/>
      <c r="D10" s="220"/>
      <c r="E10" s="220"/>
      <c r="F10" s="220"/>
      <c r="G10" s="220"/>
      <c r="H10" s="221"/>
      <c r="I10" s="26"/>
      <c r="J10" s="219"/>
      <c r="K10" s="220"/>
      <c r="L10" s="220"/>
      <c r="M10" s="220"/>
      <c r="N10" s="220"/>
      <c r="O10" s="220"/>
      <c r="P10" s="221"/>
      <c r="Q10" s="26"/>
      <c r="R10" s="219"/>
      <c r="S10" s="220"/>
      <c r="T10" s="220"/>
      <c r="U10" s="220"/>
      <c r="V10" s="220"/>
      <c r="W10" s="220"/>
      <c r="X10" s="221"/>
      <c r="Y10" s="26"/>
    </row>
    <row r="11" spans="1:25" x14ac:dyDescent="0.2">
      <c r="A11" s="26"/>
      <c r="B11" s="219"/>
      <c r="C11" s="220"/>
      <c r="D11" s="220"/>
      <c r="E11" s="220"/>
      <c r="F11" s="220"/>
      <c r="G11" s="220"/>
      <c r="H11" s="221"/>
      <c r="I11" s="26"/>
      <c r="J11" s="219"/>
      <c r="K11" s="220"/>
      <c r="L11" s="220"/>
      <c r="M11" s="220"/>
      <c r="N11" s="220"/>
      <c r="O11" s="220"/>
      <c r="P11" s="221"/>
      <c r="Q11" s="26"/>
      <c r="R11" s="219"/>
      <c r="S11" s="220"/>
      <c r="T11" s="220"/>
      <c r="U11" s="220"/>
      <c r="V11" s="220"/>
      <c r="W11" s="220"/>
      <c r="X11" s="221"/>
      <c r="Y11" s="26"/>
    </row>
    <row r="12" spans="1:25" x14ac:dyDescent="0.2">
      <c r="A12" s="26"/>
      <c r="B12" s="219"/>
      <c r="C12" s="220"/>
      <c r="D12" s="220"/>
      <c r="E12" s="220"/>
      <c r="F12" s="220"/>
      <c r="G12" s="220"/>
      <c r="H12" s="221"/>
      <c r="I12" s="26"/>
      <c r="J12" s="219"/>
      <c r="K12" s="220"/>
      <c r="L12" s="220"/>
      <c r="M12" s="220"/>
      <c r="N12" s="220"/>
      <c r="O12" s="220"/>
      <c r="P12" s="221"/>
      <c r="Q12" s="26"/>
      <c r="R12" s="219"/>
      <c r="S12" s="220"/>
      <c r="T12" s="220"/>
      <c r="U12" s="220"/>
      <c r="V12" s="220"/>
      <c r="W12" s="220"/>
      <c r="X12" s="221"/>
      <c r="Y12" s="26"/>
    </row>
    <row r="13" spans="1:25" x14ac:dyDescent="0.2">
      <c r="A13" s="26"/>
      <c r="B13" s="219"/>
      <c r="C13" s="220"/>
      <c r="D13" s="220"/>
      <c r="E13" s="220"/>
      <c r="F13" s="220"/>
      <c r="G13" s="220"/>
      <c r="H13" s="221"/>
      <c r="I13" s="26"/>
      <c r="J13" s="219"/>
      <c r="K13" s="220"/>
      <c r="L13" s="220"/>
      <c r="M13" s="220"/>
      <c r="N13" s="220"/>
      <c r="O13" s="220"/>
      <c r="P13" s="221"/>
      <c r="Q13" s="26"/>
      <c r="R13" s="219"/>
      <c r="S13" s="220"/>
      <c r="T13" s="220"/>
      <c r="U13" s="220"/>
      <c r="V13" s="220"/>
      <c r="W13" s="220"/>
      <c r="X13" s="221"/>
      <c r="Y13" s="26"/>
    </row>
    <row r="14" spans="1:25" x14ac:dyDescent="0.2">
      <c r="A14" s="26"/>
      <c r="B14" s="219"/>
      <c r="C14" s="220"/>
      <c r="D14" s="220"/>
      <c r="E14" s="220"/>
      <c r="F14" s="220"/>
      <c r="G14" s="220"/>
      <c r="H14" s="221"/>
      <c r="I14" s="26"/>
      <c r="J14" s="219"/>
      <c r="K14" s="220"/>
      <c r="L14" s="220"/>
      <c r="M14" s="220"/>
      <c r="N14" s="220"/>
      <c r="O14" s="220"/>
      <c r="P14" s="221"/>
      <c r="Q14" s="26"/>
      <c r="R14" s="219"/>
      <c r="S14" s="220"/>
      <c r="T14" s="220"/>
      <c r="U14" s="220"/>
      <c r="V14" s="220"/>
      <c r="W14" s="220"/>
      <c r="X14" s="221"/>
      <c r="Y14" s="26"/>
    </row>
    <row r="15" spans="1:25" x14ac:dyDescent="0.2">
      <c r="A15" s="26"/>
      <c r="B15" s="219"/>
      <c r="C15" s="220"/>
      <c r="D15" s="220"/>
      <c r="E15" s="220"/>
      <c r="F15" s="220"/>
      <c r="G15" s="220"/>
      <c r="H15" s="221"/>
      <c r="I15" s="26"/>
      <c r="J15" s="219"/>
      <c r="K15" s="220"/>
      <c r="L15" s="220"/>
      <c r="M15" s="220"/>
      <c r="N15" s="220"/>
      <c r="O15" s="220"/>
      <c r="P15" s="221"/>
      <c r="Q15" s="26"/>
      <c r="R15" s="219"/>
      <c r="S15" s="220"/>
      <c r="T15" s="220"/>
      <c r="U15" s="220"/>
      <c r="V15" s="220"/>
      <c r="W15" s="220"/>
      <c r="X15" s="221"/>
      <c r="Y15" s="26"/>
    </row>
    <row r="16" spans="1:25" x14ac:dyDescent="0.2">
      <c r="A16" s="26"/>
      <c r="B16" s="219"/>
      <c r="C16" s="220"/>
      <c r="D16" s="220"/>
      <c r="E16" s="220"/>
      <c r="F16" s="220"/>
      <c r="G16" s="220"/>
      <c r="H16" s="221"/>
      <c r="I16" s="26"/>
      <c r="J16" s="219"/>
      <c r="K16" s="220"/>
      <c r="L16" s="220"/>
      <c r="M16" s="220"/>
      <c r="N16" s="220"/>
      <c r="O16" s="220"/>
      <c r="P16" s="221"/>
      <c r="Q16" s="26"/>
      <c r="R16" s="219"/>
      <c r="S16" s="220"/>
      <c r="T16" s="220"/>
      <c r="U16" s="220"/>
      <c r="V16" s="220"/>
      <c r="W16" s="220"/>
      <c r="X16" s="221"/>
      <c r="Y16" s="26"/>
    </row>
    <row r="17" spans="1:25" x14ac:dyDescent="0.2">
      <c r="A17" s="26"/>
      <c r="B17" s="219"/>
      <c r="C17" s="220"/>
      <c r="D17" s="220"/>
      <c r="E17" s="220"/>
      <c r="F17" s="220"/>
      <c r="G17" s="220"/>
      <c r="H17" s="221"/>
      <c r="I17" s="26"/>
      <c r="J17" s="219"/>
      <c r="K17" s="220"/>
      <c r="L17" s="220"/>
      <c r="M17" s="220"/>
      <c r="N17" s="220"/>
      <c r="O17" s="220"/>
      <c r="P17" s="221"/>
      <c r="Q17" s="18"/>
      <c r="R17" s="219"/>
      <c r="S17" s="220"/>
      <c r="T17" s="220"/>
      <c r="U17" s="220"/>
      <c r="V17" s="220"/>
      <c r="W17" s="220"/>
      <c r="X17" s="221"/>
      <c r="Y17" s="26"/>
    </row>
    <row r="18" spans="1:25" x14ac:dyDescent="0.2">
      <c r="A18" s="26"/>
      <c r="B18" s="219"/>
      <c r="C18" s="220"/>
      <c r="D18" s="220"/>
      <c r="E18" s="220"/>
      <c r="F18" s="220"/>
      <c r="G18" s="220"/>
      <c r="H18" s="221"/>
      <c r="I18" s="26"/>
      <c r="J18" s="219"/>
      <c r="K18" s="220"/>
      <c r="L18" s="220"/>
      <c r="M18" s="220"/>
      <c r="N18" s="220"/>
      <c r="O18" s="220"/>
      <c r="P18" s="221"/>
      <c r="Q18" s="18"/>
      <c r="R18" s="219"/>
      <c r="S18" s="220"/>
      <c r="T18" s="220"/>
      <c r="U18" s="220"/>
      <c r="V18" s="220"/>
      <c r="W18" s="220"/>
      <c r="X18" s="221"/>
      <c r="Y18" s="26"/>
    </row>
    <row r="19" spans="1:25" x14ac:dyDescent="0.2">
      <c r="A19" s="26"/>
      <c r="B19" s="219"/>
      <c r="C19" s="220"/>
      <c r="D19" s="220"/>
      <c r="E19" s="220"/>
      <c r="F19" s="220"/>
      <c r="G19" s="220"/>
      <c r="H19" s="221"/>
      <c r="I19" s="26"/>
      <c r="J19" s="219"/>
      <c r="K19" s="220"/>
      <c r="L19" s="220"/>
      <c r="M19" s="220"/>
      <c r="N19" s="220"/>
      <c r="O19" s="220"/>
      <c r="P19" s="221"/>
      <c r="Q19" s="18"/>
      <c r="R19" s="219"/>
      <c r="S19" s="220"/>
      <c r="T19" s="220"/>
      <c r="U19" s="220"/>
      <c r="V19" s="220"/>
      <c r="W19" s="220"/>
      <c r="X19" s="221"/>
      <c r="Y19" s="26"/>
    </row>
    <row r="20" spans="1:25" x14ac:dyDescent="0.2">
      <c r="A20" s="26"/>
      <c r="B20" s="219"/>
      <c r="C20" s="220"/>
      <c r="D20" s="220"/>
      <c r="E20" s="220"/>
      <c r="F20" s="220"/>
      <c r="G20" s="220"/>
      <c r="H20" s="221"/>
      <c r="I20" s="26"/>
      <c r="J20" s="219"/>
      <c r="K20" s="220"/>
      <c r="L20" s="220"/>
      <c r="M20" s="220"/>
      <c r="N20" s="220"/>
      <c r="O20" s="220"/>
      <c r="P20" s="221"/>
      <c r="Q20" s="18"/>
      <c r="R20" s="219"/>
      <c r="S20" s="220"/>
      <c r="T20" s="220"/>
      <c r="U20" s="220"/>
      <c r="V20" s="220"/>
      <c r="W20" s="220"/>
      <c r="X20" s="221"/>
      <c r="Y20" s="26"/>
    </row>
    <row r="21" spans="1:25" x14ac:dyDescent="0.2">
      <c r="A21" s="26"/>
      <c r="B21" s="222"/>
      <c r="C21" s="223"/>
      <c r="D21" s="223"/>
      <c r="E21" s="223"/>
      <c r="F21" s="223"/>
      <c r="G21" s="223"/>
      <c r="H21" s="224"/>
      <c r="I21" s="26"/>
      <c r="J21" s="222"/>
      <c r="K21" s="223"/>
      <c r="L21" s="223"/>
      <c r="M21" s="223"/>
      <c r="N21" s="223"/>
      <c r="O21" s="223"/>
      <c r="P21" s="224"/>
      <c r="Q21" s="18"/>
      <c r="R21" s="222"/>
      <c r="S21" s="223"/>
      <c r="T21" s="223"/>
      <c r="U21" s="223"/>
      <c r="V21" s="223"/>
      <c r="W21" s="223"/>
      <c r="X21" s="224"/>
      <c r="Y21" s="26"/>
    </row>
    <row r="22" spans="1:25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18"/>
      <c r="R22" s="26"/>
      <c r="S22" s="26"/>
      <c r="T22" s="26"/>
      <c r="U22" s="26"/>
      <c r="V22" s="26"/>
      <c r="W22" s="26"/>
      <c r="X22" s="26"/>
      <c r="Y22" s="26"/>
    </row>
    <row r="23" spans="1:25" x14ac:dyDescent="0.2">
      <c r="A23" s="26"/>
      <c r="B23" s="225" t="s">
        <v>28</v>
      </c>
      <c r="C23" s="226"/>
      <c r="D23" s="226"/>
      <c r="E23" s="226"/>
      <c r="F23" s="57">
        <v>12</v>
      </c>
      <c r="G23" s="58" t="s">
        <v>56</v>
      </c>
      <c r="H23" s="26"/>
      <c r="I23" s="26"/>
      <c r="J23" s="225" t="s">
        <v>28</v>
      </c>
      <c r="K23" s="226"/>
      <c r="L23" s="226"/>
      <c r="M23" s="226"/>
      <c r="N23" s="57">
        <v>8</v>
      </c>
      <c r="O23" s="58" t="s">
        <v>56</v>
      </c>
      <c r="P23" s="26"/>
      <c r="Q23" s="18"/>
      <c r="R23" s="225" t="s">
        <v>28</v>
      </c>
      <c r="S23" s="226"/>
      <c r="T23" s="226"/>
      <c r="U23" s="226"/>
      <c r="V23" s="57">
        <v>4</v>
      </c>
      <c r="W23" s="58" t="s">
        <v>56</v>
      </c>
      <c r="X23" s="26"/>
      <c r="Y23" s="26"/>
    </row>
    <row r="24" spans="1:25" x14ac:dyDescent="0.2">
      <c r="A24" s="26"/>
      <c r="B24" s="85"/>
      <c r="C24" s="86" t="s">
        <v>208</v>
      </c>
      <c r="D24" s="86"/>
      <c r="E24" s="86"/>
      <c r="F24" s="26">
        <f>1250*1000</f>
        <v>1250000</v>
      </c>
      <c r="G24" s="29" t="s">
        <v>80</v>
      </c>
      <c r="H24" s="26"/>
      <c r="I24" s="26"/>
      <c r="J24" s="85"/>
      <c r="K24" s="86" t="s">
        <v>208</v>
      </c>
      <c r="L24" s="86"/>
      <c r="M24" s="86"/>
      <c r="N24" s="26">
        <f>1250*1000</f>
        <v>1250000</v>
      </c>
      <c r="O24" s="29" t="s">
        <v>80</v>
      </c>
      <c r="P24" s="26"/>
      <c r="Q24" s="26"/>
      <c r="R24" s="85"/>
      <c r="S24" s="86" t="s">
        <v>208</v>
      </c>
      <c r="T24" s="86"/>
      <c r="U24" s="86"/>
      <c r="V24" s="26">
        <f>1250*1000</f>
        <v>1250000</v>
      </c>
      <c r="W24" s="29" t="s">
        <v>80</v>
      </c>
      <c r="X24" s="26"/>
      <c r="Y24" s="26"/>
    </row>
    <row r="25" spans="1:25" x14ac:dyDescent="0.2">
      <c r="A25" s="26"/>
      <c r="B25" s="230" t="s">
        <v>73</v>
      </c>
      <c r="C25" s="233" t="s">
        <v>61</v>
      </c>
      <c r="D25" s="233"/>
      <c r="E25" s="233"/>
      <c r="F25" s="57">
        <v>135</v>
      </c>
      <c r="G25" s="58" t="s">
        <v>57</v>
      </c>
      <c r="H25" s="26"/>
      <c r="I25" s="26"/>
      <c r="J25" s="230" t="s">
        <v>73</v>
      </c>
      <c r="K25" s="233" t="s">
        <v>61</v>
      </c>
      <c r="L25" s="233"/>
      <c r="M25" s="233"/>
      <c r="N25" s="57">
        <v>135</v>
      </c>
      <c r="O25" s="58" t="s">
        <v>57</v>
      </c>
      <c r="P25" s="26"/>
      <c r="Q25" s="26"/>
      <c r="R25" s="230" t="s">
        <v>73</v>
      </c>
      <c r="S25" s="233" t="s">
        <v>61</v>
      </c>
      <c r="T25" s="233"/>
      <c r="U25" s="233"/>
      <c r="V25" s="57">
        <v>135</v>
      </c>
      <c r="W25" s="58" t="s">
        <v>57</v>
      </c>
      <c r="X25" s="26"/>
      <c r="Y25" s="26"/>
    </row>
    <row r="26" spans="1:25" x14ac:dyDescent="0.2">
      <c r="A26" s="26"/>
      <c r="B26" s="231"/>
      <c r="C26" s="233" t="s">
        <v>79</v>
      </c>
      <c r="D26" s="233"/>
      <c r="E26" s="233"/>
      <c r="F26" s="62">
        <f>19.9*(F25/1000)^2*1000</f>
        <v>362.67750000000001</v>
      </c>
      <c r="G26" s="29" t="s">
        <v>78</v>
      </c>
      <c r="H26" s="26"/>
      <c r="I26" s="26"/>
      <c r="J26" s="231"/>
      <c r="K26" s="233" t="s">
        <v>79</v>
      </c>
      <c r="L26" s="233"/>
      <c r="M26" s="233"/>
      <c r="N26" s="62">
        <f>19.9*(N25/1000)^2*1000</f>
        <v>362.67750000000001</v>
      </c>
      <c r="O26" s="29" t="s">
        <v>78</v>
      </c>
      <c r="P26" s="26"/>
      <c r="Q26" s="26"/>
      <c r="R26" s="231"/>
      <c r="S26" s="233" t="s">
        <v>79</v>
      </c>
      <c r="T26" s="233"/>
      <c r="U26" s="233"/>
      <c r="V26" s="62">
        <f>19.9*(V25/1000)^2*1000</f>
        <v>362.67750000000001</v>
      </c>
      <c r="W26" s="29" t="s">
        <v>78</v>
      </c>
      <c r="X26" s="26"/>
      <c r="Y26" s="26"/>
    </row>
    <row r="27" spans="1:25" x14ac:dyDescent="0.2">
      <c r="A27" s="26"/>
      <c r="B27" s="231"/>
      <c r="C27" s="233" t="s">
        <v>59</v>
      </c>
      <c r="D27" s="233"/>
      <c r="E27" s="233"/>
      <c r="F27" s="26">
        <v>80</v>
      </c>
      <c r="G27" s="29" t="s">
        <v>55</v>
      </c>
      <c r="H27" s="26">
        <v>80</v>
      </c>
      <c r="I27" s="26"/>
      <c r="J27" s="231"/>
      <c r="K27" s="233" t="s">
        <v>59</v>
      </c>
      <c r="L27" s="233"/>
      <c r="M27" s="233"/>
      <c r="N27" s="26">
        <v>80</v>
      </c>
      <c r="O27" s="29" t="s">
        <v>55</v>
      </c>
      <c r="P27" s="26"/>
      <c r="Q27" s="26"/>
      <c r="R27" s="231"/>
      <c r="S27" s="233" t="s">
        <v>59</v>
      </c>
      <c r="T27" s="233"/>
      <c r="U27" s="233"/>
      <c r="V27" s="26">
        <v>80</v>
      </c>
      <c r="W27" s="29" t="s">
        <v>55</v>
      </c>
      <c r="X27" s="26"/>
      <c r="Y27" s="26"/>
    </row>
    <row r="28" spans="1:25" x14ac:dyDescent="0.2">
      <c r="A28" s="26"/>
      <c r="B28" s="231"/>
      <c r="C28" s="23" t="s">
        <v>60</v>
      </c>
      <c r="D28" s="23"/>
      <c r="E28" s="23"/>
      <c r="F28" s="26">
        <v>24</v>
      </c>
      <c r="G28" s="29" t="s">
        <v>56</v>
      </c>
      <c r="H28" s="26"/>
      <c r="I28" s="26"/>
      <c r="J28" s="231"/>
      <c r="K28" s="23" t="s">
        <v>60</v>
      </c>
      <c r="L28" s="23"/>
      <c r="M28" s="23"/>
      <c r="N28" s="26">
        <v>24</v>
      </c>
      <c r="O28" s="29" t="s">
        <v>56</v>
      </c>
      <c r="P28" s="26"/>
      <c r="Q28" s="26"/>
      <c r="R28" s="231"/>
      <c r="S28" s="23" t="s">
        <v>60</v>
      </c>
      <c r="T28" s="23"/>
      <c r="U28" s="23"/>
      <c r="V28" s="26">
        <v>24</v>
      </c>
      <c r="W28" s="29" t="s">
        <v>56</v>
      </c>
      <c r="X28" s="26"/>
      <c r="Y28" s="26"/>
    </row>
    <row r="29" spans="1:25" x14ac:dyDescent="0.2">
      <c r="A29" s="26"/>
      <c r="B29" s="232"/>
      <c r="C29" s="233" t="s">
        <v>79</v>
      </c>
      <c r="D29" s="233"/>
      <c r="E29" s="233"/>
      <c r="F29" s="62">
        <f>F28*F27*F26</f>
        <v>696340.8</v>
      </c>
      <c r="G29" s="29" t="s">
        <v>80</v>
      </c>
      <c r="H29" s="26"/>
      <c r="I29" s="26"/>
      <c r="J29" s="232"/>
      <c r="K29" s="233" t="s">
        <v>79</v>
      </c>
      <c r="L29" s="233"/>
      <c r="M29" s="233"/>
      <c r="N29" s="62">
        <f>N28*N27*N26</f>
        <v>696340.8</v>
      </c>
      <c r="O29" s="29" t="s">
        <v>80</v>
      </c>
      <c r="P29" s="26"/>
      <c r="Q29" s="26"/>
      <c r="R29" s="232"/>
      <c r="S29" s="233" t="s">
        <v>79</v>
      </c>
      <c r="T29" s="233"/>
      <c r="U29" s="233"/>
      <c r="V29" s="62">
        <f>V28*V27*V26</f>
        <v>696340.8</v>
      </c>
      <c r="W29" s="29" t="s">
        <v>80</v>
      </c>
      <c r="X29" s="26"/>
      <c r="Y29" s="26"/>
    </row>
    <row r="30" spans="1:25" x14ac:dyDescent="0.2">
      <c r="A30" s="26"/>
      <c r="B30" s="230" t="s">
        <v>58</v>
      </c>
      <c r="C30" s="56" t="s">
        <v>61</v>
      </c>
      <c r="D30" s="56"/>
      <c r="E30" s="56"/>
      <c r="F30" s="57">
        <v>200</v>
      </c>
      <c r="G30" s="58" t="s">
        <v>57</v>
      </c>
      <c r="H30" s="26"/>
      <c r="I30" s="26"/>
      <c r="J30" s="230" t="s">
        <v>58</v>
      </c>
      <c r="K30" s="56" t="s">
        <v>61</v>
      </c>
      <c r="L30" s="56"/>
      <c r="M30" s="56"/>
      <c r="N30" s="57">
        <v>200</v>
      </c>
      <c r="O30" s="58" t="s">
        <v>57</v>
      </c>
      <c r="P30" s="26"/>
      <c r="Q30" s="26"/>
      <c r="R30" s="230" t="s">
        <v>58</v>
      </c>
      <c r="S30" s="56" t="s">
        <v>61</v>
      </c>
      <c r="T30" s="56"/>
      <c r="U30" s="56"/>
      <c r="V30" s="57">
        <v>200</v>
      </c>
      <c r="W30" s="58" t="s">
        <v>57</v>
      </c>
      <c r="X30" s="26"/>
      <c r="Y30" s="26"/>
    </row>
    <row r="31" spans="1:25" x14ac:dyDescent="0.2">
      <c r="A31" s="26"/>
      <c r="B31" s="231"/>
      <c r="C31" s="234" t="s">
        <v>204</v>
      </c>
      <c r="D31" s="23"/>
      <c r="E31" s="23"/>
      <c r="F31" s="26">
        <v>1250</v>
      </c>
      <c r="G31" s="29" t="s">
        <v>205</v>
      </c>
      <c r="H31" s="26"/>
      <c r="I31" s="26"/>
      <c r="J31" s="231"/>
      <c r="K31" s="234" t="s">
        <v>204</v>
      </c>
      <c r="L31" s="23"/>
      <c r="M31" s="23"/>
      <c r="N31" s="26">
        <v>1250</v>
      </c>
      <c r="O31" s="29" t="s">
        <v>205</v>
      </c>
      <c r="P31" s="26"/>
      <c r="Q31" s="26"/>
      <c r="R31" s="231"/>
      <c r="S31" s="234" t="s">
        <v>204</v>
      </c>
      <c r="T31" s="23"/>
      <c r="U31" s="23"/>
      <c r="V31" s="26">
        <v>1250</v>
      </c>
      <c r="W31" s="29" t="s">
        <v>205</v>
      </c>
      <c r="X31" s="26"/>
      <c r="Y31" s="26"/>
    </row>
    <row r="32" spans="1:25" x14ac:dyDescent="0.2">
      <c r="A32" s="26"/>
      <c r="B32" s="231"/>
      <c r="C32" s="234"/>
      <c r="D32" s="23"/>
      <c r="E32" s="23"/>
      <c r="F32" s="62">
        <f>F31/101.9716</f>
        <v>12.258315060271684</v>
      </c>
      <c r="G32" s="29" t="s">
        <v>206</v>
      </c>
      <c r="H32" s="26"/>
      <c r="I32" s="26"/>
      <c r="J32" s="231"/>
      <c r="K32" s="234"/>
      <c r="L32" s="23"/>
      <c r="M32" s="23"/>
      <c r="N32" s="62">
        <f>N31/101.9716</f>
        <v>12.258315060271684</v>
      </c>
      <c r="O32" s="29" t="s">
        <v>206</v>
      </c>
      <c r="P32" s="26"/>
      <c r="Q32" s="26"/>
      <c r="R32" s="231"/>
      <c r="S32" s="234"/>
      <c r="T32" s="23"/>
      <c r="U32" s="23"/>
      <c r="V32" s="62">
        <f>V31/101.9716</f>
        <v>12.258315060271684</v>
      </c>
      <c r="W32" s="29" t="s">
        <v>206</v>
      </c>
      <c r="X32" s="26"/>
      <c r="Y32" s="26"/>
    </row>
    <row r="33" spans="1:25" x14ac:dyDescent="0.2">
      <c r="A33" s="26"/>
      <c r="B33" s="231"/>
      <c r="C33" s="23" t="s">
        <v>59</v>
      </c>
      <c r="D33" s="23"/>
      <c r="E33" s="23"/>
      <c r="F33" s="26">
        <v>1382.9</v>
      </c>
      <c r="G33" s="29" t="s">
        <v>55</v>
      </c>
      <c r="H33" s="26"/>
      <c r="I33" s="26"/>
      <c r="J33" s="231"/>
      <c r="K33" s="23" t="s">
        <v>59</v>
      </c>
      <c r="L33" s="23"/>
      <c r="M33" s="23"/>
      <c r="N33" s="26">
        <v>1382.9</v>
      </c>
      <c r="O33" s="29" t="s">
        <v>55</v>
      </c>
      <c r="P33" s="26"/>
      <c r="Q33" s="26"/>
      <c r="R33" s="231"/>
      <c r="S33" s="23" t="s">
        <v>59</v>
      </c>
      <c r="T33" s="23"/>
      <c r="U33" s="23"/>
      <c r="V33" s="26">
        <v>1382.9</v>
      </c>
      <c r="W33" s="29" t="s">
        <v>55</v>
      </c>
      <c r="X33" s="26"/>
      <c r="Y33" s="26"/>
    </row>
    <row r="34" spans="1:25" x14ac:dyDescent="0.2">
      <c r="A34" s="26"/>
      <c r="B34" s="232"/>
      <c r="C34" s="59" t="s">
        <v>60</v>
      </c>
      <c r="D34" s="59"/>
      <c r="E34" s="59"/>
      <c r="F34" s="32">
        <v>12</v>
      </c>
      <c r="G34" s="33" t="s">
        <v>56</v>
      </c>
      <c r="H34" s="26"/>
      <c r="I34" s="26"/>
      <c r="J34" s="232"/>
      <c r="K34" s="59" t="s">
        <v>60</v>
      </c>
      <c r="L34" s="59"/>
      <c r="M34" s="59"/>
      <c r="N34" s="32">
        <v>12</v>
      </c>
      <c r="O34" s="33" t="s">
        <v>56</v>
      </c>
      <c r="P34" s="26"/>
      <c r="Q34" s="26"/>
      <c r="R34" s="232"/>
      <c r="S34" s="59" t="s">
        <v>60</v>
      </c>
      <c r="T34" s="59"/>
      <c r="U34" s="59"/>
      <c r="V34" s="32">
        <v>8</v>
      </c>
      <c r="W34" s="33" t="s">
        <v>56</v>
      </c>
      <c r="X34" s="26"/>
      <c r="Y34" s="26"/>
    </row>
    <row r="35" spans="1:25" x14ac:dyDescent="0.2">
      <c r="A35" s="26"/>
      <c r="B35" s="23"/>
      <c r="C35" s="23"/>
      <c r="D35" s="22"/>
      <c r="E35" s="22"/>
      <c r="F35" s="25"/>
      <c r="G35" s="25"/>
      <c r="H35" s="26"/>
      <c r="I35" s="26"/>
      <c r="J35" s="23"/>
      <c r="K35" s="23"/>
      <c r="L35" s="22"/>
      <c r="M35" s="22"/>
      <c r="N35" s="26"/>
      <c r="O35" s="26"/>
      <c r="P35" s="26"/>
      <c r="Q35" s="26"/>
      <c r="R35" s="23"/>
      <c r="S35" s="23"/>
      <c r="T35" s="22"/>
      <c r="U35" s="22"/>
      <c r="V35" s="26"/>
      <c r="W35" s="26"/>
      <c r="X35" s="26"/>
      <c r="Y35" s="26"/>
    </row>
    <row r="36" spans="1:25" x14ac:dyDescent="0.2">
      <c r="A36" s="26"/>
      <c r="B36" s="23" t="s">
        <v>62</v>
      </c>
      <c r="C36" s="23"/>
      <c r="D36" s="22"/>
      <c r="E36" s="22"/>
      <c r="F36" s="25">
        <f>F28*F27</f>
        <v>1920</v>
      </c>
      <c r="G36" s="26" t="s">
        <v>55</v>
      </c>
      <c r="H36" s="26"/>
      <c r="I36" s="26"/>
      <c r="J36" s="23" t="s">
        <v>62</v>
      </c>
      <c r="K36" s="23"/>
      <c r="L36" s="22"/>
      <c r="M36" s="22"/>
      <c r="N36" s="25">
        <f>N28*N27</f>
        <v>1920</v>
      </c>
      <c r="O36" s="26" t="s">
        <v>55</v>
      </c>
      <c r="P36" s="26"/>
      <c r="Q36" s="26"/>
      <c r="R36" s="23" t="s">
        <v>62</v>
      </c>
      <c r="S36" s="23"/>
      <c r="T36" s="22"/>
      <c r="U36" s="22"/>
      <c r="V36" s="25">
        <f>V28*V27</f>
        <v>1920</v>
      </c>
      <c r="W36" s="26" t="s">
        <v>55</v>
      </c>
      <c r="X36" s="26"/>
      <c r="Y36" s="26"/>
    </row>
    <row r="37" spans="1:25" x14ac:dyDescent="0.2">
      <c r="A37" s="26"/>
      <c r="B37" s="23" t="s">
        <v>63</v>
      </c>
      <c r="C37" s="23"/>
      <c r="D37" s="22"/>
      <c r="E37" s="22"/>
      <c r="F37" s="25">
        <f>F34*F33</f>
        <v>16594.800000000003</v>
      </c>
      <c r="G37" s="26" t="s">
        <v>55</v>
      </c>
      <c r="H37" s="26"/>
      <c r="I37" s="26"/>
      <c r="J37" s="23" t="s">
        <v>63</v>
      </c>
      <c r="K37" s="23"/>
      <c r="L37" s="22"/>
      <c r="M37" s="22"/>
      <c r="N37" s="25">
        <f>N34*N33</f>
        <v>16594.800000000003</v>
      </c>
      <c r="O37" s="26" t="s">
        <v>55</v>
      </c>
      <c r="P37" s="26"/>
      <c r="Q37" s="26"/>
      <c r="R37" s="23" t="s">
        <v>63</v>
      </c>
      <c r="S37" s="23"/>
      <c r="T37" s="22"/>
      <c r="U37" s="22"/>
      <c r="V37" s="25">
        <f>V34*V33</f>
        <v>11063.2</v>
      </c>
      <c r="W37" s="26" t="s">
        <v>55</v>
      </c>
      <c r="X37" s="26"/>
      <c r="Y37" s="26"/>
    </row>
    <row r="38" spans="1:25" x14ac:dyDescent="0.2">
      <c r="A38" s="26"/>
      <c r="B38" s="26"/>
      <c r="C38" s="26"/>
      <c r="D38" s="25"/>
      <c r="E38" s="25"/>
      <c r="F38" s="25"/>
      <c r="G38" s="25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</row>
    <row r="39" spans="1:25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</row>
    <row r="40" spans="1:25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</row>
    <row r="41" spans="1:25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</row>
    <row r="42" spans="1:25" x14ac:dyDescent="0.2">
      <c r="A42" s="26"/>
      <c r="B42" s="227" t="s">
        <v>221</v>
      </c>
      <c r="C42" s="228"/>
      <c r="D42" s="228"/>
      <c r="E42" s="228"/>
      <c r="F42" s="228"/>
      <c r="G42" s="229"/>
      <c r="H42" s="26"/>
      <c r="I42" s="26"/>
      <c r="J42" s="227" t="s">
        <v>221</v>
      </c>
      <c r="K42" s="228"/>
      <c r="L42" s="228"/>
      <c r="M42" s="228"/>
      <c r="N42" s="228"/>
      <c r="O42" s="229"/>
      <c r="P42" s="26"/>
      <c r="Q42" s="26"/>
      <c r="R42" s="227" t="s">
        <v>221</v>
      </c>
      <c r="S42" s="228"/>
      <c r="T42" s="228"/>
      <c r="U42" s="228"/>
      <c r="V42" s="228"/>
      <c r="W42" s="229"/>
      <c r="X42" s="26"/>
      <c r="Y42" s="26"/>
    </row>
    <row r="43" spans="1:25" x14ac:dyDescent="0.2">
      <c r="A43" s="26"/>
      <c r="B43" s="235" t="s">
        <v>219</v>
      </c>
      <c r="C43" s="236"/>
      <c r="D43" s="236"/>
      <c r="E43" s="84">
        <f>60/3.28084</f>
        <v>18.287999414784018</v>
      </c>
      <c r="F43" s="25" t="s">
        <v>220</v>
      </c>
      <c r="G43" s="29"/>
      <c r="H43" s="26"/>
      <c r="I43" s="26"/>
      <c r="J43" s="235" t="s">
        <v>219</v>
      </c>
      <c r="K43" s="236"/>
      <c r="L43" s="236"/>
      <c r="M43" s="84">
        <f>60/3.28084</f>
        <v>18.287999414784018</v>
      </c>
      <c r="N43" s="25" t="s">
        <v>220</v>
      </c>
      <c r="O43" s="29"/>
      <c r="P43" s="26"/>
      <c r="Q43" s="26"/>
      <c r="R43" s="235" t="s">
        <v>219</v>
      </c>
      <c r="S43" s="236"/>
      <c r="T43" s="236"/>
      <c r="U43" s="84">
        <f>60/3.28084</f>
        <v>18.287999414784018</v>
      </c>
      <c r="V43" s="25" t="s">
        <v>220</v>
      </c>
      <c r="W43" s="29"/>
      <c r="X43" s="26"/>
      <c r="Y43" s="26"/>
    </row>
    <row r="44" spans="1:25" x14ac:dyDescent="0.2">
      <c r="A44" s="26"/>
      <c r="B44" s="227" t="s">
        <v>217</v>
      </c>
      <c r="C44" s="228"/>
      <c r="D44" s="228"/>
      <c r="E44" s="228"/>
      <c r="F44" s="228"/>
      <c r="G44" s="229"/>
      <c r="H44" s="26"/>
      <c r="I44" s="26"/>
      <c r="J44" s="227" t="s">
        <v>217</v>
      </c>
      <c r="K44" s="228"/>
      <c r="L44" s="228"/>
      <c r="M44" s="228"/>
      <c r="N44" s="228"/>
      <c r="O44" s="229"/>
      <c r="P44" s="26"/>
      <c r="Q44" s="26"/>
      <c r="R44" s="227" t="s">
        <v>217</v>
      </c>
      <c r="S44" s="228"/>
      <c r="T44" s="228"/>
      <c r="U44" s="228"/>
      <c r="V44" s="228"/>
      <c r="W44" s="229"/>
      <c r="X44" s="26"/>
      <c r="Y44" s="26"/>
    </row>
    <row r="45" spans="1:25" x14ac:dyDescent="0.2">
      <c r="A45" s="26"/>
      <c r="B45" s="30" t="s">
        <v>218</v>
      </c>
      <c r="C45" s="26"/>
      <c r="D45" s="26">
        <f>F33</f>
        <v>1382.9</v>
      </c>
      <c r="E45" s="26"/>
      <c r="F45" s="95">
        <f>(D46-D45)/$E$43</f>
        <v>33.7434394</v>
      </c>
      <c r="G45" s="29" t="s">
        <v>214</v>
      </c>
      <c r="H45" s="26"/>
      <c r="I45" s="26"/>
      <c r="J45" s="30" t="s">
        <v>218</v>
      </c>
      <c r="K45" s="26"/>
      <c r="L45" s="26">
        <f>N33</f>
        <v>1382.9</v>
      </c>
      <c r="M45" s="26"/>
      <c r="N45" s="95">
        <f>(L46-L45)/$E$43</f>
        <v>33.7434394</v>
      </c>
      <c r="O45" s="29" t="s">
        <v>214</v>
      </c>
      <c r="P45" s="26"/>
      <c r="Q45" s="26"/>
      <c r="R45" s="30" t="s">
        <v>218</v>
      </c>
      <c r="S45" s="26"/>
      <c r="T45" s="26">
        <f>V33</f>
        <v>1382.9</v>
      </c>
      <c r="U45" s="26"/>
      <c r="V45" s="95">
        <f>(T46-T45)/$E$43</f>
        <v>33.7434394</v>
      </c>
      <c r="W45" s="29" t="s">
        <v>214</v>
      </c>
      <c r="X45" s="26"/>
      <c r="Y45" s="26"/>
    </row>
    <row r="46" spans="1:25" x14ac:dyDescent="0.2">
      <c r="A46" s="26"/>
      <c r="B46" s="30" t="s">
        <v>141</v>
      </c>
      <c r="C46" s="26"/>
      <c r="D46" s="26">
        <f>IF('Check Different Lengths'!$O$2="",F33,'Check Different Lengths'!$O$2)</f>
        <v>2000</v>
      </c>
      <c r="E46" s="26"/>
      <c r="F46" s="95">
        <f>F45/60</f>
        <v>0.56239065666666666</v>
      </c>
      <c r="G46" s="29" t="s">
        <v>37</v>
      </c>
      <c r="H46" s="26"/>
      <c r="I46" s="26"/>
      <c r="J46" s="30" t="s">
        <v>141</v>
      </c>
      <c r="K46" s="26"/>
      <c r="L46" s="26">
        <f>IF('Check Different Lengths'!$O$2="",N33,'Check Different Lengths'!$O$2)</f>
        <v>2000</v>
      </c>
      <c r="M46" s="26"/>
      <c r="N46" s="95">
        <f>N45/60</f>
        <v>0.56239065666666666</v>
      </c>
      <c r="O46" s="29" t="s">
        <v>37</v>
      </c>
      <c r="P46" s="26"/>
      <c r="Q46" s="26"/>
      <c r="R46" s="30" t="s">
        <v>141</v>
      </c>
      <c r="S46" s="26"/>
      <c r="T46" s="26">
        <f>IF('Check Different Lengths'!$O$2="",V33,'Check Different Lengths'!$O$2)</f>
        <v>2000</v>
      </c>
      <c r="U46" s="26"/>
      <c r="V46" s="95">
        <f>V45/60</f>
        <v>0.56239065666666666</v>
      </c>
      <c r="W46" s="29" t="s">
        <v>37</v>
      </c>
      <c r="X46" s="26"/>
      <c r="Y46" s="26"/>
    </row>
    <row r="47" spans="1:25" x14ac:dyDescent="0.2">
      <c r="A47" s="26"/>
      <c r="B47" s="227" t="s">
        <v>216</v>
      </c>
      <c r="C47" s="228"/>
      <c r="D47" s="228"/>
      <c r="E47" s="228"/>
      <c r="F47" s="228"/>
      <c r="G47" s="229"/>
      <c r="H47" s="26"/>
      <c r="I47" s="26"/>
      <c r="J47" s="227" t="s">
        <v>216</v>
      </c>
      <c r="K47" s="228"/>
      <c r="L47" s="228"/>
      <c r="M47" s="228"/>
      <c r="N47" s="228"/>
      <c r="O47" s="229"/>
      <c r="P47" s="26"/>
      <c r="Q47" s="26"/>
      <c r="R47" s="227" t="s">
        <v>216</v>
      </c>
      <c r="S47" s="228"/>
      <c r="T47" s="228"/>
      <c r="U47" s="228"/>
      <c r="V47" s="228"/>
      <c r="W47" s="229"/>
      <c r="X47" s="26"/>
      <c r="Y47" s="26"/>
    </row>
    <row r="48" spans="1:25" x14ac:dyDescent="0.2">
      <c r="A48" s="26"/>
      <c r="B48" s="30" t="s">
        <v>218</v>
      </c>
      <c r="C48" s="26"/>
      <c r="D48" s="26">
        <f>F27</f>
        <v>80</v>
      </c>
      <c r="E48" s="26"/>
      <c r="F48" s="95">
        <f>(D49-D48)/$E$43</f>
        <v>-0.54680666666666666</v>
      </c>
      <c r="G48" s="29" t="s">
        <v>214</v>
      </c>
      <c r="H48" s="26"/>
      <c r="I48" s="26"/>
      <c r="J48" s="30" t="s">
        <v>218</v>
      </c>
      <c r="K48" s="26"/>
      <c r="L48" s="26">
        <f>N27</f>
        <v>80</v>
      </c>
      <c r="M48" s="26"/>
      <c r="N48" s="95">
        <f>(L49-L48)/$E$43</f>
        <v>-0.54680666666666666</v>
      </c>
      <c r="O48" s="29" t="s">
        <v>214</v>
      </c>
      <c r="P48" s="26"/>
      <c r="Q48" s="26"/>
      <c r="R48" s="30" t="s">
        <v>218</v>
      </c>
      <c r="S48" s="26"/>
      <c r="T48" s="26">
        <f>V27</f>
        <v>80</v>
      </c>
      <c r="U48" s="26"/>
      <c r="V48" s="95">
        <f>(T49-T48)/$E$43</f>
        <v>-0.54680666666666666</v>
      </c>
      <c r="W48" s="29" t="s">
        <v>214</v>
      </c>
      <c r="X48" s="26"/>
      <c r="Y48" s="26"/>
    </row>
    <row r="49" spans="1:25" x14ac:dyDescent="0.2">
      <c r="A49" s="26"/>
      <c r="B49" s="31" t="s">
        <v>141</v>
      </c>
      <c r="C49" s="32"/>
      <c r="D49" s="32">
        <f>IF('Check Different Lengths'!$O$3="",F27,'Check Different Lengths'!$O$3)</f>
        <v>70</v>
      </c>
      <c r="E49" s="32"/>
      <c r="F49" s="96">
        <f>F48/60</f>
        <v>-9.1134444444444448E-3</v>
      </c>
      <c r="G49" s="33" t="s">
        <v>37</v>
      </c>
      <c r="H49" s="26"/>
      <c r="I49" s="26"/>
      <c r="J49" s="31" t="s">
        <v>141</v>
      </c>
      <c r="K49" s="32"/>
      <c r="L49" s="32">
        <f>IF('Check Different Lengths'!$O$3="",N27,'Check Different Lengths'!$O$3)</f>
        <v>70</v>
      </c>
      <c r="M49" s="32"/>
      <c r="N49" s="96">
        <f>N48/60</f>
        <v>-9.1134444444444448E-3</v>
      </c>
      <c r="O49" s="33" t="s">
        <v>37</v>
      </c>
      <c r="P49" s="26"/>
      <c r="Q49" s="26"/>
      <c r="R49" s="31" t="s">
        <v>141</v>
      </c>
      <c r="S49" s="32"/>
      <c r="T49" s="32">
        <f>IF('Check Different Lengths'!$O$3="",V27,'Check Different Lengths'!$O$3)</f>
        <v>70</v>
      </c>
      <c r="U49" s="32"/>
      <c r="V49" s="96">
        <f>V48/60</f>
        <v>-9.1134444444444448E-3</v>
      </c>
      <c r="W49" s="33" t="s">
        <v>37</v>
      </c>
      <c r="X49" s="26"/>
      <c r="Y49" s="26"/>
    </row>
    <row r="50" spans="1:25" x14ac:dyDescent="0.2">
      <c r="A50" s="26"/>
      <c r="B50" s="26"/>
      <c r="C50" s="26"/>
      <c r="D50" s="26"/>
      <c r="E50" s="26"/>
      <c r="F50" s="95"/>
      <c r="G50" s="26"/>
      <c r="H50" s="26"/>
      <c r="I50" s="26"/>
      <c r="J50" s="26"/>
      <c r="K50" s="26"/>
      <c r="L50" s="26"/>
      <c r="M50" s="26"/>
      <c r="N50" s="95"/>
      <c r="O50" s="26"/>
      <c r="P50" s="26"/>
      <c r="Q50" s="26"/>
      <c r="R50" s="26"/>
      <c r="S50" s="26"/>
      <c r="T50" s="26"/>
      <c r="U50" s="26"/>
      <c r="V50" s="95"/>
      <c r="W50" s="26"/>
      <c r="X50" s="26"/>
      <c r="Y50" s="26"/>
    </row>
    <row r="51" spans="1:25" x14ac:dyDescent="0.2">
      <c r="A51" s="66"/>
      <c r="B51" s="57"/>
      <c r="C51" s="57"/>
      <c r="D51" s="143" t="s">
        <v>55</v>
      </c>
      <c r="E51" s="57"/>
      <c r="F51" s="57"/>
      <c r="G51" s="57"/>
      <c r="H51" s="58"/>
      <c r="I51" s="66"/>
      <c r="J51" s="57"/>
      <c r="K51" s="57"/>
      <c r="L51" s="143" t="s">
        <v>55</v>
      </c>
      <c r="M51" s="57"/>
      <c r="N51" s="57"/>
      <c r="O51" s="57"/>
      <c r="P51" s="58"/>
      <c r="Q51" s="57"/>
      <c r="R51" s="57"/>
      <c r="S51" s="57"/>
      <c r="T51" s="143" t="s">
        <v>55</v>
      </c>
      <c r="U51" s="57"/>
      <c r="V51" s="57"/>
      <c r="W51" s="57"/>
      <c r="X51" s="58"/>
      <c r="Y51" s="26"/>
    </row>
    <row r="52" spans="1:25" x14ac:dyDescent="0.2">
      <c r="A52" s="235" t="s">
        <v>260</v>
      </c>
      <c r="B52" s="236"/>
      <c r="C52" s="236"/>
      <c r="D52" s="26">
        <v>100</v>
      </c>
      <c r="E52" s="26" t="s">
        <v>262</v>
      </c>
      <c r="F52" s="26">
        <v>20.5</v>
      </c>
      <c r="G52" s="26" t="s">
        <v>261</v>
      </c>
      <c r="H52" s="29"/>
      <c r="I52" s="30"/>
      <c r="J52" s="26"/>
      <c r="K52" s="26"/>
      <c r="L52" s="26">
        <v>100</v>
      </c>
      <c r="M52" s="26" t="s">
        <v>262</v>
      </c>
      <c r="N52" s="26">
        <v>20.5</v>
      </c>
      <c r="O52" s="26" t="s">
        <v>261</v>
      </c>
      <c r="P52" s="29"/>
      <c r="Q52" s="26"/>
      <c r="R52" s="26"/>
      <c r="S52" s="26"/>
      <c r="T52" s="26">
        <v>100</v>
      </c>
      <c r="U52" s="26" t="s">
        <v>262</v>
      </c>
      <c r="V52" s="26">
        <v>20.5</v>
      </c>
      <c r="W52" s="26" t="s">
        <v>261</v>
      </c>
      <c r="X52" s="29"/>
      <c r="Y52" s="26"/>
    </row>
    <row r="53" spans="1:25" x14ac:dyDescent="0.2">
      <c r="A53" s="235" t="s">
        <v>257</v>
      </c>
      <c r="B53" s="236"/>
      <c r="C53" s="236"/>
      <c r="D53" s="26">
        <f>D48</f>
        <v>80</v>
      </c>
      <c r="E53" s="26" t="s">
        <v>262</v>
      </c>
      <c r="F53" s="26">
        <f>D53/D52*F52</f>
        <v>16.400000000000002</v>
      </c>
      <c r="G53" s="26" t="s">
        <v>261</v>
      </c>
      <c r="H53" s="29"/>
      <c r="I53" s="30"/>
      <c r="J53" s="26"/>
      <c r="K53" s="26"/>
      <c r="L53" s="26">
        <f>L48</f>
        <v>80</v>
      </c>
      <c r="M53" s="26" t="s">
        <v>262</v>
      </c>
      <c r="N53" s="26">
        <f>L53/L52*N52</f>
        <v>16.400000000000002</v>
      </c>
      <c r="O53" s="26" t="s">
        <v>261</v>
      </c>
      <c r="P53" s="29"/>
      <c r="Q53" s="26"/>
      <c r="R53" s="26"/>
      <c r="S53" s="26"/>
      <c r="T53" s="26">
        <f>T48</f>
        <v>80</v>
      </c>
      <c r="U53" s="26" t="s">
        <v>262</v>
      </c>
      <c r="V53" s="26">
        <f>T53/T52*V52</f>
        <v>16.400000000000002</v>
      </c>
      <c r="W53" s="26" t="s">
        <v>261</v>
      </c>
      <c r="X53" s="29"/>
      <c r="Y53" s="26"/>
    </row>
    <row r="54" spans="1:25" x14ac:dyDescent="0.2">
      <c r="A54" s="237" t="s">
        <v>258</v>
      </c>
      <c r="B54" s="238"/>
      <c r="C54" s="238"/>
      <c r="D54" s="32">
        <f>D49</f>
        <v>70</v>
      </c>
      <c r="E54" s="32" t="s">
        <v>262</v>
      </c>
      <c r="F54" s="32">
        <f>D54/D52*F52</f>
        <v>14.35</v>
      </c>
      <c r="G54" s="32" t="s">
        <v>261</v>
      </c>
      <c r="H54" s="33"/>
      <c r="I54" s="31"/>
      <c r="J54" s="32"/>
      <c r="K54" s="32"/>
      <c r="L54" s="32">
        <f>L49</f>
        <v>70</v>
      </c>
      <c r="M54" s="32" t="s">
        <v>262</v>
      </c>
      <c r="N54" s="32">
        <f>L54/L52*N52</f>
        <v>14.35</v>
      </c>
      <c r="O54" s="32" t="s">
        <v>261</v>
      </c>
      <c r="P54" s="33"/>
      <c r="Q54" s="32"/>
      <c r="R54" s="32"/>
      <c r="S54" s="32"/>
      <c r="T54" s="32">
        <f>T49</f>
        <v>70</v>
      </c>
      <c r="U54" s="32" t="s">
        <v>262</v>
      </c>
      <c r="V54" s="32">
        <f>T54/T52*V52</f>
        <v>14.35</v>
      </c>
      <c r="W54" s="32" t="s">
        <v>261</v>
      </c>
      <c r="X54" s="33"/>
      <c r="Y54" s="26"/>
    </row>
    <row r="55" spans="1:25" x14ac:dyDescent="0.2">
      <c r="A55" s="235" t="s">
        <v>259</v>
      </c>
      <c r="B55" s="236"/>
      <c r="C55" s="236"/>
      <c r="D55" s="26">
        <v>735</v>
      </c>
      <c r="E55" s="26" t="s">
        <v>262</v>
      </c>
      <c r="F55" s="26">
        <v>13.5</v>
      </c>
      <c r="G55" s="26" t="s">
        <v>261</v>
      </c>
      <c r="H55" s="29"/>
      <c r="I55" s="66"/>
      <c r="J55" s="57"/>
      <c r="K55" s="57"/>
      <c r="L55" s="57">
        <v>735</v>
      </c>
      <c r="M55" s="57" t="s">
        <v>262</v>
      </c>
      <c r="N55" s="57">
        <v>13.5</v>
      </c>
      <c r="O55" s="57" t="s">
        <v>261</v>
      </c>
      <c r="P55" s="58"/>
      <c r="Q55" s="57"/>
      <c r="R55" s="57"/>
      <c r="S55" s="57"/>
      <c r="T55" s="57">
        <v>735</v>
      </c>
      <c r="U55" s="57" t="s">
        <v>262</v>
      </c>
      <c r="V55" s="57">
        <v>13.5</v>
      </c>
      <c r="W55" s="57" t="s">
        <v>261</v>
      </c>
      <c r="X55" s="58"/>
      <c r="Y55" s="26"/>
    </row>
    <row r="56" spans="1:25" x14ac:dyDescent="0.2">
      <c r="A56" s="30"/>
      <c r="B56" s="26"/>
      <c r="C56" s="26"/>
      <c r="D56" s="26">
        <f>D45</f>
        <v>1382.9</v>
      </c>
      <c r="E56" s="144">
        <f>D56/$D$55</f>
        <v>1.8814965986394558</v>
      </c>
      <c r="F56" s="149">
        <f>ROUNDUP(E56,0)</f>
        <v>2</v>
      </c>
      <c r="G56" s="26">
        <f>F56*$F$55</f>
        <v>27</v>
      </c>
      <c r="H56" s="29" t="s">
        <v>261</v>
      </c>
      <c r="I56" s="30"/>
      <c r="J56" s="26"/>
      <c r="K56" s="26"/>
      <c r="L56" s="26">
        <f>L45</f>
        <v>1382.9</v>
      </c>
      <c r="M56" s="144">
        <f>L56/$D$55</f>
        <v>1.8814965986394558</v>
      </c>
      <c r="N56" s="149">
        <f>ROUNDUP(M56,0)</f>
        <v>2</v>
      </c>
      <c r="O56" s="26">
        <f>N56*$F$55</f>
        <v>27</v>
      </c>
      <c r="P56" s="29" t="s">
        <v>261</v>
      </c>
      <c r="Q56" s="26"/>
      <c r="R56" s="26"/>
      <c r="S56" s="26"/>
      <c r="T56" s="26">
        <f>T45</f>
        <v>1382.9</v>
      </c>
      <c r="U56" s="144">
        <f>T56/$D$55</f>
        <v>1.8814965986394558</v>
      </c>
      <c r="V56" s="149">
        <f>ROUNDUP(U56,0)</f>
        <v>2</v>
      </c>
      <c r="W56" s="26">
        <f>V56*$F$55</f>
        <v>27</v>
      </c>
      <c r="X56" s="29" t="s">
        <v>261</v>
      </c>
      <c r="Y56" s="26"/>
    </row>
    <row r="57" spans="1:25" x14ac:dyDescent="0.2">
      <c r="A57" s="30"/>
      <c r="B57" s="26"/>
      <c r="C57" s="26"/>
      <c r="D57" s="26"/>
      <c r="E57" s="144"/>
      <c r="F57" s="149">
        <f>F56*F$34</f>
        <v>24</v>
      </c>
      <c r="G57" s="26"/>
      <c r="H57" s="29"/>
      <c r="I57" s="30"/>
      <c r="J57" s="26"/>
      <c r="K57" s="26"/>
      <c r="L57" s="26"/>
      <c r="M57" s="144"/>
      <c r="N57" s="149">
        <f>N56*N$34</f>
        <v>24</v>
      </c>
      <c r="O57" s="26"/>
      <c r="P57" s="29"/>
      <c r="Q57" s="26"/>
      <c r="R57" s="26"/>
      <c r="S57" s="26"/>
      <c r="T57" s="26"/>
      <c r="U57" s="144"/>
      <c r="V57" s="149">
        <f>V56*V$34</f>
        <v>16</v>
      </c>
      <c r="W57" s="26"/>
      <c r="X57" s="29"/>
      <c r="Y57" s="26"/>
    </row>
    <row r="58" spans="1:25" x14ac:dyDescent="0.2">
      <c r="A58" s="30"/>
      <c r="B58" s="26"/>
      <c r="C58" s="26"/>
      <c r="D58" s="26">
        <f>D46</f>
        <v>2000</v>
      </c>
      <c r="E58" s="144">
        <f>D58/$D$55</f>
        <v>2.7210884353741496</v>
      </c>
      <c r="F58" s="149">
        <f>ROUNDUP(E58,0)</f>
        <v>3</v>
      </c>
      <c r="G58" s="26">
        <f>F58*$F$55</f>
        <v>40.5</v>
      </c>
      <c r="H58" s="29" t="s">
        <v>261</v>
      </c>
      <c r="I58" s="30"/>
      <c r="J58" s="26"/>
      <c r="K58" s="26"/>
      <c r="L58" s="26">
        <f>L46</f>
        <v>2000</v>
      </c>
      <c r="M58" s="144">
        <f>L58/$D$55</f>
        <v>2.7210884353741496</v>
      </c>
      <c r="N58" s="149">
        <f>ROUNDUP(M58,0)</f>
        <v>3</v>
      </c>
      <c r="O58" s="26">
        <f>N58*$F$55</f>
        <v>40.5</v>
      </c>
      <c r="P58" s="29" t="s">
        <v>261</v>
      </c>
      <c r="Q58" s="26"/>
      <c r="R58" s="26"/>
      <c r="S58" s="26"/>
      <c r="T58" s="26">
        <f>T46</f>
        <v>2000</v>
      </c>
      <c r="U58" s="144">
        <f>T58/$D$55</f>
        <v>2.7210884353741496</v>
      </c>
      <c r="V58" s="149">
        <f>ROUNDUP(U58,0)</f>
        <v>3</v>
      </c>
      <c r="W58" s="26">
        <f>V58*$F$55</f>
        <v>40.5</v>
      </c>
      <c r="X58" s="29" t="s">
        <v>261</v>
      </c>
      <c r="Y58" s="26"/>
    </row>
    <row r="59" spans="1:25" x14ac:dyDescent="0.2">
      <c r="A59" s="31"/>
      <c r="B59" s="32"/>
      <c r="C59" s="32"/>
      <c r="D59" s="32"/>
      <c r="E59" s="145"/>
      <c r="F59" s="150">
        <f>F58*F$34</f>
        <v>36</v>
      </c>
      <c r="G59" s="32"/>
      <c r="H59" s="33"/>
      <c r="I59" s="31"/>
      <c r="J59" s="32"/>
      <c r="K59" s="32"/>
      <c r="L59" s="32"/>
      <c r="M59" s="145"/>
      <c r="N59" s="150">
        <f>N58*N$34</f>
        <v>36</v>
      </c>
      <c r="O59" s="32"/>
      <c r="P59" s="33"/>
      <c r="Q59" s="32"/>
      <c r="R59" s="32"/>
      <c r="S59" s="32"/>
      <c r="T59" s="32"/>
      <c r="U59" s="145"/>
      <c r="V59" s="150">
        <f>V58*V$34</f>
        <v>24</v>
      </c>
      <c r="W59" s="32"/>
      <c r="X59" s="33"/>
    </row>
  </sheetData>
  <mergeCells count="46">
    <mergeCell ref="R47:W47"/>
    <mergeCell ref="A52:C52"/>
    <mergeCell ref="A55:C55"/>
    <mergeCell ref="A53:C53"/>
    <mergeCell ref="A54:C54"/>
    <mergeCell ref="B47:G47"/>
    <mergeCell ref="J47:O47"/>
    <mergeCell ref="B25:B29"/>
    <mergeCell ref="C31:C32"/>
    <mergeCell ref="K31:K32"/>
    <mergeCell ref="S31:S32"/>
    <mergeCell ref="B44:G44"/>
    <mergeCell ref="R42:W42"/>
    <mergeCell ref="R43:T43"/>
    <mergeCell ref="R44:W44"/>
    <mergeCell ref="B30:B34"/>
    <mergeCell ref="B43:D43"/>
    <mergeCell ref="B42:G42"/>
    <mergeCell ref="J42:O42"/>
    <mergeCell ref="J43:L43"/>
    <mergeCell ref="J44:O44"/>
    <mergeCell ref="J30:J34"/>
    <mergeCell ref="S25:U25"/>
    <mergeCell ref="S26:U26"/>
    <mergeCell ref="C29:E29"/>
    <mergeCell ref="K27:M27"/>
    <mergeCell ref="K29:M29"/>
    <mergeCell ref="J25:J29"/>
    <mergeCell ref="R25:R29"/>
    <mergeCell ref="S27:U27"/>
    <mergeCell ref="S29:U29"/>
    <mergeCell ref="R30:R34"/>
    <mergeCell ref="C27:E27"/>
    <mergeCell ref="C25:E25"/>
    <mergeCell ref="C26:E26"/>
    <mergeCell ref="K25:M25"/>
    <mergeCell ref="K26:M26"/>
    <mergeCell ref="J4:P21"/>
    <mergeCell ref="R4:X21"/>
    <mergeCell ref="J23:M23"/>
    <mergeCell ref="B3:H3"/>
    <mergeCell ref="J3:P3"/>
    <mergeCell ref="R23:U23"/>
    <mergeCell ref="R3:X3"/>
    <mergeCell ref="B4:H21"/>
    <mergeCell ref="B23:E23"/>
  </mergeCells>
  <phoneticPr fontId="1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5ECF6-6093-4684-812D-A369971728D6}">
  <sheetPr codeName="Sheet8"/>
  <dimension ref="A1:Q23"/>
  <sheetViews>
    <sheetView workbookViewId="0">
      <selection activeCell="B4" sqref="B4:H21"/>
    </sheetView>
  </sheetViews>
  <sheetFormatPr baseColWidth="10" defaultColWidth="8.83203125" defaultRowHeight="15" x14ac:dyDescent="0.2"/>
  <cols>
    <col min="2" max="2" width="20" bestFit="1" customWidth="1"/>
    <col min="3" max="7" width="18.6640625" customWidth="1"/>
    <col min="8" max="8" width="17.6640625" customWidth="1"/>
  </cols>
  <sheetData>
    <row r="1" spans="1:12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1:12" x14ac:dyDescent="0.2">
      <c r="A2" s="26"/>
      <c r="B2" s="26"/>
      <c r="C2" s="242" t="s">
        <v>1</v>
      </c>
      <c r="D2" s="242"/>
      <c r="E2" s="242"/>
      <c r="F2" s="242"/>
      <c r="G2" s="26"/>
      <c r="H2" s="242" t="s">
        <v>1</v>
      </c>
      <c r="I2" s="242"/>
      <c r="J2" s="242"/>
      <c r="K2" s="242"/>
      <c r="L2" s="26"/>
    </row>
    <row r="3" spans="1:12" x14ac:dyDescent="0.2">
      <c r="A3" s="26"/>
      <c r="B3" s="26"/>
      <c r="C3" s="46" t="s">
        <v>75</v>
      </c>
      <c r="D3" s="46" t="s">
        <v>41</v>
      </c>
      <c r="E3" s="239" t="s">
        <v>43</v>
      </c>
      <c r="F3" s="239"/>
      <c r="G3" s="26"/>
      <c r="H3" s="46" t="s">
        <v>27</v>
      </c>
      <c r="I3" s="46" t="s">
        <v>41</v>
      </c>
      <c r="J3" s="239" t="s">
        <v>43</v>
      </c>
      <c r="K3" s="239"/>
      <c r="L3" s="26"/>
    </row>
    <row r="4" spans="1:12" x14ac:dyDescent="0.2">
      <c r="A4" s="26"/>
      <c r="B4" s="47" t="s">
        <v>50</v>
      </c>
      <c r="C4" s="240" t="s">
        <v>45</v>
      </c>
      <c r="D4" s="240"/>
      <c r="E4" s="243" t="s">
        <v>40</v>
      </c>
      <c r="F4" s="243" t="s">
        <v>36</v>
      </c>
      <c r="G4" s="26"/>
      <c r="H4" s="240">
        <v>17.25</v>
      </c>
      <c r="I4" s="240"/>
      <c r="J4" s="25">
        <v>3.25</v>
      </c>
      <c r="K4" s="25">
        <v>3.875</v>
      </c>
      <c r="L4" s="26"/>
    </row>
    <row r="5" spans="1:12" x14ac:dyDescent="0.2">
      <c r="A5" s="26"/>
      <c r="B5" s="47" t="s">
        <v>12</v>
      </c>
      <c r="C5" s="241" t="s">
        <v>42</v>
      </c>
      <c r="D5" s="241"/>
      <c r="E5" s="243"/>
      <c r="F5" s="243"/>
      <c r="G5" s="26"/>
      <c r="H5" s="241">
        <v>31.5</v>
      </c>
      <c r="I5" s="241"/>
      <c r="J5" s="25">
        <v>3.25</v>
      </c>
      <c r="K5" s="25">
        <v>3.875</v>
      </c>
      <c r="L5" s="26"/>
    </row>
    <row r="6" spans="1:12" x14ac:dyDescent="0.2">
      <c r="A6" s="26"/>
      <c r="B6" s="47" t="s">
        <v>46</v>
      </c>
      <c r="C6" s="25" t="s">
        <v>42</v>
      </c>
      <c r="D6" s="25" t="s">
        <v>45</v>
      </c>
      <c r="E6" s="243"/>
      <c r="F6" s="243"/>
      <c r="G6" s="26"/>
      <c r="H6" s="25">
        <v>6.5</v>
      </c>
      <c r="I6" s="25">
        <v>11</v>
      </c>
      <c r="J6" s="25">
        <v>3.25</v>
      </c>
      <c r="K6" s="25">
        <v>3.875</v>
      </c>
      <c r="L6" s="26"/>
    </row>
    <row r="7" spans="1:12" x14ac:dyDescent="0.2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  <row r="8" spans="1:12" x14ac:dyDescent="0.2">
      <c r="A8" s="26"/>
      <c r="B8" s="26"/>
      <c r="C8" s="242" t="s">
        <v>4</v>
      </c>
      <c r="D8" s="242"/>
      <c r="E8" s="242"/>
      <c r="F8" s="242"/>
      <c r="G8" s="26"/>
      <c r="H8" s="242" t="s">
        <v>4</v>
      </c>
      <c r="I8" s="242"/>
      <c r="J8" s="242"/>
      <c r="K8" s="242"/>
      <c r="L8" s="26"/>
    </row>
    <row r="9" spans="1:12" x14ac:dyDescent="0.2">
      <c r="A9" s="26"/>
      <c r="B9" s="26"/>
      <c r="C9" s="46" t="s">
        <v>75</v>
      </c>
      <c r="D9" s="46" t="s">
        <v>41</v>
      </c>
      <c r="E9" s="239" t="s">
        <v>43</v>
      </c>
      <c r="F9" s="239"/>
      <c r="G9" s="26"/>
      <c r="H9" s="46" t="s">
        <v>27</v>
      </c>
      <c r="I9" s="46" t="s">
        <v>41</v>
      </c>
      <c r="J9" s="239" t="s">
        <v>43</v>
      </c>
      <c r="K9" s="239"/>
      <c r="L9" s="26"/>
    </row>
    <row r="10" spans="1:12" x14ac:dyDescent="0.2">
      <c r="A10" s="26"/>
      <c r="B10" s="47" t="s">
        <v>50</v>
      </c>
      <c r="C10" s="240" t="s">
        <v>45</v>
      </c>
      <c r="D10" s="240"/>
      <c r="E10" s="243" t="s">
        <v>40</v>
      </c>
      <c r="F10" s="243" t="s">
        <v>36</v>
      </c>
      <c r="G10" s="26"/>
      <c r="H10" s="240"/>
      <c r="I10" s="240"/>
      <c r="J10" s="25"/>
      <c r="K10" s="25"/>
      <c r="L10" s="26"/>
    </row>
    <row r="11" spans="1:12" x14ac:dyDescent="0.2">
      <c r="A11" s="26"/>
      <c r="B11" s="47" t="s">
        <v>12</v>
      </c>
      <c r="C11" s="241" t="s">
        <v>42</v>
      </c>
      <c r="D11" s="241"/>
      <c r="E11" s="243"/>
      <c r="F11" s="243"/>
      <c r="G11" s="26"/>
      <c r="H11" s="241"/>
      <c r="I11" s="241"/>
      <c r="J11" s="25"/>
      <c r="K11" s="25"/>
      <c r="L11" s="26"/>
    </row>
    <row r="12" spans="1:12" x14ac:dyDescent="0.2">
      <c r="A12" s="26"/>
      <c r="B12" s="47" t="s">
        <v>46</v>
      </c>
      <c r="C12" s="25" t="s">
        <v>42</v>
      </c>
      <c r="D12" s="25" t="s">
        <v>45</v>
      </c>
      <c r="E12" s="243"/>
      <c r="F12" s="243"/>
      <c r="G12" s="26"/>
      <c r="H12" s="25"/>
      <c r="I12" s="25"/>
      <c r="J12" s="25"/>
      <c r="K12" s="25"/>
      <c r="L12" s="26"/>
    </row>
    <row r="13" spans="1:12" x14ac:dyDescent="0.2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2">
      <c r="A14" s="26"/>
      <c r="B14" s="26"/>
      <c r="C14" s="242" t="s">
        <v>5</v>
      </c>
      <c r="D14" s="242"/>
      <c r="E14" s="242"/>
      <c r="F14" s="242"/>
      <c r="G14" s="26"/>
      <c r="H14" s="242" t="s">
        <v>5</v>
      </c>
      <c r="I14" s="242"/>
      <c r="J14" s="242"/>
      <c r="K14" s="242"/>
      <c r="L14" s="26"/>
    </row>
    <row r="15" spans="1:12" x14ac:dyDescent="0.2">
      <c r="A15" s="26"/>
      <c r="B15" s="26"/>
      <c r="C15" s="46" t="s">
        <v>75</v>
      </c>
      <c r="D15" s="46" t="s">
        <v>41</v>
      </c>
      <c r="E15" s="239" t="s">
        <v>43</v>
      </c>
      <c r="F15" s="239"/>
      <c r="G15" s="26"/>
      <c r="H15" s="46" t="s">
        <v>27</v>
      </c>
      <c r="I15" s="46" t="s">
        <v>41</v>
      </c>
      <c r="J15" s="239" t="s">
        <v>43</v>
      </c>
      <c r="K15" s="239"/>
      <c r="L15" s="26"/>
    </row>
    <row r="16" spans="1:12" x14ac:dyDescent="0.2">
      <c r="A16" s="26"/>
      <c r="B16" s="47" t="s">
        <v>50</v>
      </c>
      <c r="C16" s="240"/>
      <c r="D16" s="240"/>
      <c r="E16" s="25"/>
      <c r="F16" s="25"/>
      <c r="G16" s="26"/>
      <c r="H16" s="240"/>
      <c r="I16" s="240"/>
      <c r="J16" s="25"/>
      <c r="K16" s="25"/>
      <c r="L16" s="26"/>
    </row>
    <row r="17" spans="1:17" x14ac:dyDescent="0.2">
      <c r="A17" s="26"/>
      <c r="B17" s="47" t="s">
        <v>12</v>
      </c>
      <c r="C17" s="241"/>
      <c r="D17" s="241"/>
      <c r="E17" s="25"/>
      <c r="F17" s="25"/>
      <c r="G17" s="26"/>
      <c r="H17" s="241"/>
      <c r="I17" s="241"/>
      <c r="J17" s="25"/>
      <c r="K17" s="25"/>
      <c r="L17" s="26"/>
      <c r="Q17" s="26"/>
    </row>
    <row r="18" spans="1:17" x14ac:dyDescent="0.2">
      <c r="A18" s="26"/>
      <c r="B18" s="47" t="s">
        <v>46</v>
      </c>
      <c r="C18" s="25"/>
      <c r="D18" s="25"/>
      <c r="E18" s="243"/>
      <c r="F18" s="243"/>
      <c r="G18" s="26"/>
      <c r="H18" s="25"/>
      <c r="I18" s="25"/>
      <c r="J18" s="243"/>
      <c r="K18" s="243"/>
      <c r="L18" s="26"/>
      <c r="Q18" s="26"/>
    </row>
    <row r="19" spans="1:17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Q19" s="26"/>
    </row>
    <row r="20" spans="1:17" x14ac:dyDescent="0.2">
      <c r="Q20" s="26"/>
    </row>
    <row r="21" spans="1:17" x14ac:dyDescent="0.2">
      <c r="Q21" s="26"/>
    </row>
    <row r="22" spans="1:17" x14ac:dyDescent="0.2">
      <c r="Q22" s="26"/>
    </row>
    <row r="23" spans="1:17" x14ac:dyDescent="0.2">
      <c r="Q23" s="26"/>
    </row>
  </sheetData>
  <mergeCells count="30">
    <mergeCell ref="J3:K3"/>
    <mergeCell ref="H2:K2"/>
    <mergeCell ref="H11:I11"/>
    <mergeCell ref="H10:I10"/>
    <mergeCell ref="J9:K9"/>
    <mergeCell ref="H8:K8"/>
    <mergeCell ref="H5:I5"/>
    <mergeCell ref="H4:I4"/>
    <mergeCell ref="E18:F18"/>
    <mergeCell ref="C17:D17"/>
    <mergeCell ref="C16:D16"/>
    <mergeCell ref="E15:F15"/>
    <mergeCell ref="C14:F14"/>
    <mergeCell ref="J18:K18"/>
    <mergeCell ref="H17:I17"/>
    <mergeCell ref="H16:I16"/>
    <mergeCell ref="J15:K15"/>
    <mergeCell ref="H14:K14"/>
    <mergeCell ref="E3:F3"/>
    <mergeCell ref="C4:D4"/>
    <mergeCell ref="C5:D5"/>
    <mergeCell ref="C2:F2"/>
    <mergeCell ref="C11:D11"/>
    <mergeCell ref="C10:D10"/>
    <mergeCell ref="E9:F9"/>
    <mergeCell ref="C8:F8"/>
    <mergeCell ref="E10:E12"/>
    <mergeCell ref="F10:F12"/>
    <mergeCell ref="E4:E6"/>
    <mergeCell ref="F4:F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E38F4-C364-46ED-AA2D-8D4A0AEB768E}">
  <sheetPr codeName="Sheet28"/>
  <dimension ref="C1:S25"/>
  <sheetViews>
    <sheetView workbookViewId="0">
      <selection activeCell="B4" sqref="B4:H21"/>
    </sheetView>
  </sheetViews>
  <sheetFormatPr baseColWidth="10" defaultColWidth="8.83203125" defaultRowHeight="15" x14ac:dyDescent="0.2"/>
  <cols>
    <col min="4" max="4" width="11.1640625" bestFit="1" customWidth="1"/>
  </cols>
  <sheetData>
    <row r="1" spans="3:19" x14ac:dyDescent="0.2">
      <c r="C1" t="s">
        <v>51</v>
      </c>
      <c r="D1" t="s">
        <v>39</v>
      </c>
      <c r="E1" t="s">
        <v>196</v>
      </c>
    </row>
    <row r="2" spans="3:19" x14ac:dyDescent="0.2">
      <c r="C2" s="21">
        <f>Main!B5</f>
        <v>2</v>
      </c>
      <c r="D2" s="21">
        <f>Main!B11</f>
        <v>1</v>
      </c>
      <c r="E2" s="21">
        <f>Main!B16</f>
        <v>1</v>
      </c>
    </row>
    <row r="3" spans="3:19" x14ac:dyDescent="0.2">
      <c r="C3" s="21"/>
      <c r="D3" s="21">
        <f>IF(Main!C11,1,0)</f>
        <v>0</v>
      </c>
      <c r="E3" s="21"/>
    </row>
    <row r="4" spans="3:19" x14ac:dyDescent="0.2">
      <c r="D4" s="21">
        <f>SUM(D2:D3)</f>
        <v>1</v>
      </c>
    </row>
    <row r="8" spans="3:19" x14ac:dyDescent="0.2">
      <c r="C8" t="s">
        <v>198</v>
      </c>
      <c r="G8" s="82">
        <f ca="1">OFFSET($E$17,(C2-1)*3+(D4-1),0)</f>
        <v>0</v>
      </c>
      <c r="H8" s="82">
        <f ca="1">OFFSET($G$17,(C2-1)*3+(D4-1),0)</f>
        <v>0</v>
      </c>
      <c r="I8" t="s">
        <v>49</v>
      </c>
      <c r="K8" s="45">
        <f ca="1">OFFSET($S$18,(E2-1),0)</f>
        <v>3.25</v>
      </c>
    </row>
    <row r="9" spans="3:19" x14ac:dyDescent="0.2">
      <c r="C9" t="s">
        <v>202</v>
      </c>
      <c r="G9" s="82">
        <f ca="1">OFFSET($F$17,(C2-1)*3+(D4-1),0)</f>
        <v>14.083333333333334</v>
      </c>
      <c r="H9" s="82">
        <f ca="1">OFFSET($H$17,(C2-1)*3+(D4-1),0)</f>
        <v>14.632053823333333</v>
      </c>
    </row>
    <row r="11" spans="3:19" x14ac:dyDescent="0.2">
      <c r="F11" s="244" t="s">
        <v>199</v>
      </c>
      <c r="G11" s="82">
        <f ca="1">IF(OR(G8=0,G9=0),SUM(G8:G9),G8)</f>
        <v>14.083333333333334</v>
      </c>
      <c r="H11" s="82">
        <f ca="1">IF(OR(H8=0,H9=0),SUM(H8:H9),H8)</f>
        <v>14.632053823333333</v>
      </c>
    </row>
    <row r="12" spans="3:19" x14ac:dyDescent="0.2">
      <c r="F12" s="244"/>
      <c r="G12" s="113" t="str">
        <f ca="1">IF(AND(G8&lt;&gt;0,G9&lt;&gt;0),G9,"")</f>
        <v/>
      </c>
      <c r="H12" s="113" t="str">
        <f ca="1">IF(AND(H8&lt;&gt;0,H9&lt;&gt;0),H9,"")</f>
        <v/>
      </c>
    </row>
    <row r="14" spans="3:19" x14ac:dyDescent="0.2">
      <c r="G14" s="220" t="s">
        <v>225</v>
      </c>
      <c r="H14" s="220"/>
    </row>
    <row r="15" spans="3:19" x14ac:dyDescent="0.2">
      <c r="C15" s="50" t="s">
        <v>51</v>
      </c>
      <c r="D15" s="50" t="s">
        <v>203</v>
      </c>
      <c r="E15" s="50" t="s">
        <v>195</v>
      </c>
      <c r="F15" s="50" t="s">
        <v>44</v>
      </c>
      <c r="G15" s="50" t="s">
        <v>195</v>
      </c>
      <c r="H15" s="50" t="s">
        <v>44</v>
      </c>
      <c r="Q15" s="227" t="s">
        <v>226</v>
      </c>
      <c r="R15" s="228"/>
      <c r="S15" s="229"/>
    </row>
    <row r="16" spans="3:19" x14ac:dyDescent="0.2">
      <c r="E16" s="81" t="s">
        <v>90</v>
      </c>
      <c r="F16" s="81" t="s">
        <v>90</v>
      </c>
      <c r="G16" s="81" t="s">
        <v>90</v>
      </c>
      <c r="H16" s="81" t="s">
        <v>90</v>
      </c>
      <c r="J16" s="81" t="s">
        <v>294</v>
      </c>
      <c r="K16" s="81" t="s">
        <v>295</v>
      </c>
      <c r="L16" s="81" t="s">
        <v>296</v>
      </c>
      <c r="M16" s="81" t="s">
        <v>297</v>
      </c>
      <c r="P16" s="21"/>
      <c r="Q16" s="114" t="s">
        <v>195</v>
      </c>
      <c r="R16" s="115" t="s">
        <v>44</v>
      </c>
      <c r="S16" s="116" t="s">
        <v>64</v>
      </c>
    </row>
    <row r="17" spans="3:19" x14ac:dyDescent="0.2">
      <c r="C17" s="45">
        <v>1</v>
      </c>
      <c r="D17" s="45">
        <v>1</v>
      </c>
      <c r="E17" s="82">
        <f>'Case1 Preset with AHTS'!B5</f>
        <v>0</v>
      </c>
      <c r="F17" s="82">
        <f>'Case1 Preset with AHTS'!B6</f>
        <v>17.25</v>
      </c>
      <c r="G17" s="82">
        <f>'Case1 Preset with AHTS'!C5</f>
        <v>0</v>
      </c>
      <c r="H17" s="82">
        <f>'Case1 Preset with AHTS'!C6</f>
        <v>17.798720490000001</v>
      </c>
      <c r="J17" t="str">
        <f>"='Case" &amp; $C17 &amp; " Preset with AHTS'!"&amp;J$16</f>
        <v>='Case1 Preset with AHTS'!B5</v>
      </c>
      <c r="K17" t="str">
        <f t="shared" ref="K17:M17" si="0">"='Case" &amp; $C17 &amp; " Preset with AHTS'!"&amp;K$16</f>
        <v>='Case1 Preset with AHTS'!B6</v>
      </c>
      <c r="L17" t="str">
        <f t="shared" si="0"/>
        <v>='Case1 Preset with AHTS'!C5</v>
      </c>
      <c r="M17" t="str">
        <f t="shared" si="0"/>
        <v>='Case1 Preset with AHTS'!C6</v>
      </c>
      <c r="Q17" s="82">
        <f>'Case1 Preset with AHTS'!M5</f>
        <v>0</v>
      </c>
      <c r="R17" s="117" t="s">
        <v>90</v>
      </c>
      <c r="S17" s="118" t="s">
        <v>90</v>
      </c>
    </row>
    <row r="18" spans="3:19" x14ac:dyDescent="0.2">
      <c r="C18" s="45">
        <v>1</v>
      </c>
      <c r="D18" s="45">
        <v>2</v>
      </c>
      <c r="E18" s="82">
        <f>'Case1 Preset with MSPV'!B5</f>
        <v>20</v>
      </c>
      <c r="F18" s="82">
        <f>'Case1 Preset with MSPV'!B6</f>
        <v>0</v>
      </c>
      <c r="G18" s="82">
        <f>'Case1 Preset with MSPV'!C5</f>
        <v>20</v>
      </c>
      <c r="H18" s="82">
        <f>'Case1 Preset with MSPV'!C6</f>
        <v>0</v>
      </c>
      <c r="J18" t="str">
        <f>"='Case" &amp; $C17 &amp; " Preset with MSPV'!"&amp;J$16</f>
        <v>='Case1 Preset with MSPV'!B5</v>
      </c>
      <c r="K18" t="str">
        <f t="shared" ref="K18:M18" si="1">"='Case" &amp; $C17 &amp; " Preset with MSPV'!"&amp;K$16</f>
        <v>='Case1 Preset with MSPV'!B6</v>
      </c>
      <c r="L18" t="str">
        <f t="shared" si="1"/>
        <v>='Case1 Preset with MSPV'!C5</v>
      </c>
      <c r="M18" t="str">
        <f t="shared" si="1"/>
        <v>='Case1 Preset with MSPV'!C6</v>
      </c>
      <c r="P18" s="21">
        <v>1</v>
      </c>
      <c r="Q18" s="82"/>
      <c r="R18" s="141">
        <f>'Case1 Connecting with AHTS'!B6</f>
        <v>3.25</v>
      </c>
      <c r="S18" s="82">
        <f>SUM(Q18:R18)</f>
        <v>3.25</v>
      </c>
    </row>
    <row r="19" spans="3:19" x14ac:dyDescent="0.2">
      <c r="C19" s="45">
        <v>1</v>
      </c>
      <c r="D19" s="45">
        <v>3</v>
      </c>
      <c r="E19" s="82">
        <f>'Case1 Preset Hybrid'!B5</f>
        <v>6.5</v>
      </c>
      <c r="F19" s="82">
        <f>'Case1 Preset Hybrid'!B6</f>
        <v>11</v>
      </c>
      <c r="G19" s="82">
        <f>'Case1 Preset Hybrid'!C5</f>
        <v>6.5</v>
      </c>
      <c r="H19" s="82">
        <f>'Case1 Preset Hybrid'!C6</f>
        <v>11.548720490000001</v>
      </c>
      <c r="J19" t="str">
        <f>"='Case" &amp; $C17 &amp; " Preset Hybrid'!"&amp;J$16</f>
        <v>='Case1 Preset Hybrid'!B5</v>
      </c>
      <c r="K19" t="str">
        <f t="shared" ref="K19:M19" si="2">"='Case" &amp; $C17 &amp; " Preset Hybrid'!"&amp;K$16</f>
        <v>='Case1 Preset Hybrid'!B6</v>
      </c>
      <c r="L19" t="str">
        <f t="shared" si="2"/>
        <v>='Case1 Preset Hybrid'!C5</v>
      </c>
      <c r="M19" t="str">
        <f t="shared" si="2"/>
        <v>='Case1 Preset Hybrid'!C6</v>
      </c>
      <c r="P19" s="21">
        <v>2</v>
      </c>
      <c r="Q19" s="82"/>
      <c r="R19" s="141">
        <f>'Case1 Connecting with MSPV'!B6</f>
        <v>0</v>
      </c>
      <c r="S19" s="82">
        <f>SUM(Q19:R19)</f>
        <v>0</v>
      </c>
    </row>
    <row r="20" spans="3:19" x14ac:dyDescent="0.2">
      <c r="C20" s="21">
        <v>2</v>
      </c>
      <c r="D20" s="21">
        <v>1</v>
      </c>
      <c r="E20" s="78">
        <f>'Case2 Preset with AHTS'!B5</f>
        <v>0</v>
      </c>
      <c r="F20" s="141">
        <f>'Case2 Preset with AHTS'!B6</f>
        <v>14.083333333333334</v>
      </c>
      <c r="G20" s="141">
        <f>'Case2 Preset with AHTS'!C5</f>
        <v>0</v>
      </c>
      <c r="H20" s="141">
        <f>'Case2 Preset with AHTS'!C6</f>
        <v>14.632053823333333</v>
      </c>
      <c r="J20" t="str">
        <f>"='Case" &amp; $C20 &amp; " Preset with AHTS'!"&amp;J$16</f>
        <v>='Case2 Preset with AHTS'!B5</v>
      </c>
      <c r="K20" t="str">
        <f t="shared" ref="K20:M20" si="3">"='Case" &amp; $C20 &amp; " Preset with AHTS'!"&amp;K$16</f>
        <v>='Case2 Preset with AHTS'!B6</v>
      </c>
      <c r="L20" t="str">
        <f t="shared" si="3"/>
        <v>='Case2 Preset with AHTS'!C5</v>
      </c>
      <c r="M20" t="str">
        <f t="shared" si="3"/>
        <v>='Case2 Preset with AHTS'!C6</v>
      </c>
      <c r="P20" s="21">
        <v>3</v>
      </c>
      <c r="Q20" s="82"/>
      <c r="R20" s="141">
        <f>'Case1 Connecting with AHTS'!B6</f>
        <v>3.25</v>
      </c>
      <c r="S20" s="82">
        <f>SUM(Q20:R20)</f>
        <v>3.25</v>
      </c>
    </row>
    <row r="21" spans="3:19" x14ac:dyDescent="0.2">
      <c r="C21" s="21">
        <v>2</v>
      </c>
      <c r="D21" s="21">
        <v>2</v>
      </c>
      <c r="E21" s="141">
        <f>'Case2 Preset with MSPV'!B5</f>
        <v>20</v>
      </c>
      <c r="F21" s="141">
        <f>'Case2 Preset with MSPV'!B6</f>
        <v>0</v>
      </c>
      <c r="G21" s="141">
        <f>'Case2 Preset with MSPV'!C5</f>
        <v>20.548720489999997</v>
      </c>
      <c r="H21" s="141">
        <f>'Case2 Preset with MSPV'!C6</f>
        <v>0</v>
      </c>
      <c r="J21" t="str">
        <f>"='Case" &amp; $C20 &amp; " Preset with MSPV'!"&amp;J$16</f>
        <v>='Case2 Preset with MSPV'!B5</v>
      </c>
      <c r="K21" t="str">
        <f t="shared" ref="K21" si="4">"='Case" &amp; $C20 &amp; " Preset with MSPV'!"&amp;K$16</f>
        <v>='Case2 Preset with MSPV'!B6</v>
      </c>
      <c r="L21" t="str">
        <f t="shared" ref="L21" si="5">"='Case" &amp; $C20 &amp; " Preset with MSPV'!"&amp;L$16</f>
        <v>='Case2 Preset with MSPV'!C5</v>
      </c>
      <c r="M21" t="str">
        <f t="shared" ref="M21" si="6">"='Case" &amp; $C20 &amp; " Preset with MSPV'!"&amp;M$16</f>
        <v>='Case2 Preset with MSPV'!C6</v>
      </c>
      <c r="P21" s="21">
        <v>4</v>
      </c>
      <c r="Q21" s="82"/>
      <c r="R21" s="141">
        <f>'Case2 Connecting with MSPV'!B6</f>
        <v>0</v>
      </c>
      <c r="S21" s="82">
        <f>SUM(Q21:R21)</f>
        <v>0</v>
      </c>
    </row>
    <row r="22" spans="3:19" x14ac:dyDescent="0.2">
      <c r="C22" s="21">
        <v>2</v>
      </c>
      <c r="D22" s="21">
        <v>3</v>
      </c>
      <c r="E22" s="141">
        <f>'Case2 Preset Hybrid'!B5</f>
        <v>4.166666666666667</v>
      </c>
      <c r="F22" s="141">
        <f>'Case2 Preset Hybrid'!B6</f>
        <v>11</v>
      </c>
      <c r="G22" s="141">
        <f>'Case2 Preset Hybrid'!C5</f>
        <v>4.166666666666667</v>
      </c>
      <c r="H22" s="141">
        <f>'Case2 Preset Hybrid'!C6</f>
        <v>11.548720490000001</v>
      </c>
      <c r="J22" t="str">
        <f>"='Case" &amp; $C20 &amp; " Preset Hybrid'!"&amp;J$16</f>
        <v>='Case2 Preset Hybrid'!B5</v>
      </c>
      <c r="K22" t="str">
        <f t="shared" ref="K22:M22" si="7">"='Case" &amp; $C20 &amp; " Preset Hybrid'!"&amp;K$16</f>
        <v>='Case2 Preset Hybrid'!B6</v>
      </c>
      <c r="L22" t="str">
        <f t="shared" si="7"/>
        <v>='Case2 Preset Hybrid'!C5</v>
      </c>
      <c r="M22" t="str">
        <f t="shared" si="7"/>
        <v>='Case2 Preset Hybrid'!C6</v>
      </c>
      <c r="P22" s="21">
        <v>5</v>
      </c>
      <c r="Q22" s="82"/>
      <c r="R22" s="141">
        <f>'Case3 Connecting AHTS Prelay'!B6</f>
        <v>6.875</v>
      </c>
      <c r="S22" s="82">
        <f t="shared" ref="S22:S23" si="8">SUM(Q22:R22)</f>
        <v>6.875</v>
      </c>
    </row>
    <row r="23" spans="3:19" x14ac:dyDescent="0.2">
      <c r="C23" s="45">
        <v>3</v>
      </c>
      <c r="D23" s="45">
        <v>1</v>
      </c>
      <c r="E23" s="142">
        <f>'Case3 Preset with AHTS'!B5</f>
        <v>0</v>
      </c>
      <c r="F23" s="142">
        <f>'Case3 Preset with AHTS'!B6</f>
        <v>6.708333333333333</v>
      </c>
      <c r="G23" s="142">
        <f>'Case3 Preset with AHTS'!C5</f>
        <v>0</v>
      </c>
      <c r="H23" s="142">
        <f>'Case3 Preset with AHTS'!C6</f>
        <v>6.8912401633333333</v>
      </c>
      <c r="J23" t="str">
        <f>"='Case" &amp; $C23 &amp; " Preset with AHTS'!"&amp;J$16</f>
        <v>='Case3 Preset with AHTS'!B5</v>
      </c>
      <c r="K23" t="str">
        <f t="shared" ref="K23:M23" si="9">"='Case" &amp; $C23 &amp; " Preset with AHTS'!"&amp;K$16</f>
        <v>='Case3 Preset with AHTS'!B6</v>
      </c>
      <c r="L23" t="str">
        <f t="shared" si="9"/>
        <v>='Case3 Preset with AHTS'!C5</v>
      </c>
      <c r="M23" t="str">
        <f t="shared" si="9"/>
        <v>='Case3 Preset with AHTS'!C6</v>
      </c>
      <c r="P23" s="21">
        <v>6</v>
      </c>
      <c r="Q23" s="82"/>
      <c r="R23" s="141">
        <f>'Case3 Connecting MSPV Prelay'!B6</f>
        <v>6.208333333333333</v>
      </c>
      <c r="S23" s="82">
        <f t="shared" si="8"/>
        <v>6.208333333333333</v>
      </c>
    </row>
    <row r="24" spans="3:19" x14ac:dyDescent="0.2">
      <c r="C24" s="45">
        <v>3</v>
      </c>
      <c r="D24" s="45">
        <v>2</v>
      </c>
      <c r="E24" s="142">
        <f>'Case3 Preset with MSPV'!B5</f>
        <v>15.916666666666668</v>
      </c>
      <c r="F24" s="142">
        <f>'Case3 Preset with MSPV'!B6</f>
        <v>0</v>
      </c>
      <c r="G24" s="142">
        <f>'Case3 Preset with MSPV'!C5</f>
        <v>16.471462786296296</v>
      </c>
      <c r="H24" s="142">
        <f>'Case3 Preset with MSPV'!C6</f>
        <v>0</v>
      </c>
      <c r="J24" t="str">
        <f>"='Case" &amp; $C23 &amp; " Preset with MSPV'!"&amp;J$16</f>
        <v>='Case3 Preset with MSPV'!B5</v>
      </c>
      <c r="K24" t="str">
        <f t="shared" ref="K24" si="10">"='Case" &amp; $C23 &amp; " Preset with MSPV'!"&amp;K$16</f>
        <v>='Case3 Preset with MSPV'!B6</v>
      </c>
      <c r="L24" t="str">
        <f t="shared" ref="L24" si="11">"='Case" &amp; $C23 &amp; " Preset with MSPV'!"&amp;L$16</f>
        <v>='Case3 Preset with MSPV'!C5</v>
      </c>
      <c r="M24" t="str">
        <f t="shared" ref="M24" si="12">"='Case" &amp; $C23 &amp; " Preset with MSPV'!"&amp;M$16</f>
        <v>='Case3 Preset with MSPV'!C6</v>
      </c>
    </row>
    <row r="25" spans="3:19" x14ac:dyDescent="0.2">
      <c r="C25" s="45"/>
      <c r="D25" s="45"/>
      <c r="E25" s="142"/>
      <c r="F25" s="142"/>
      <c r="G25" s="142"/>
      <c r="H25" s="142"/>
    </row>
  </sheetData>
  <mergeCells count="3">
    <mergeCell ref="F11:F12"/>
    <mergeCell ref="G14:H14"/>
    <mergeCell ref="Q15:S1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41308-9892-4B8E-9E27-C1C006F347AE}">
  <sheetPr codeName="Sheet9"/>
  <dimension ref="B3:F12"/>
  <sheetViews>
    <sheetView workbookViewId="0">
      <selection activeCell="B4" sqref="B4:H21"/>
    </sheetView>
  </sheetViews>
  <sheetFormatPr baseColWidth="10" defaultColWidth="8.83203125" defaultRowHeight="15" x14ac:dyDescent="0.2"/>
  <cols>
    <col min="3" max="3" width="11.33203125" bestFit="1" customWidth="1"/>
  </cols>
  <sheetData>
    <row r="3" spans="2:6" x14ac:dyDescent="0.2">
      <c r="B3" s="171" t="s">
        <v>9</v>
      </c>
      <c r="C3" s="171"/>
      <c r="D3" s="171"/>
      <c r="E3" s="171"/>
      <c r="F3" s="20">
        <f>Main!F7</f>
        <v>1</v>
      </c>
    </row>
    <row r="7" spans="2:6" x14ac:dyDescent="0.2">
      <c r="C7" s="220" t="s">
        <v>64</v>
      </c>
      <c r="D7" s="220"/>
      <c r="E7" s="220"/>
    </row>
    <row r="8" spans="2:6" x14ac:dyDescent="0.2">
      <c r="B8" s="21" t="s">
        <v>51</v>
      </c>
      <c r="C8" s="21" t="s">
        <v>52</v>
      </c>
      <c r="D8" s="21" t="s">
        <v>53</v>
      </c>
      <c r="E8" s="21" t="s">
        <v>54</v>
      </c>
    </row>
    <row r="9" spans="2:6" x14ac:dyDescent="0.2">
      <c r="B9" s="21"/>
      <c r="C9" s="21" t="s">
        <v>56</v>
      </c>
      <c r="D9" s="21" t="s">
        <v>55</v>
      </c>
      <c r="E9" s="21" t="s">
        <v>55</v>
      </c>
    </row>
    <row r="10" spans="2:6" x14ac:dyDescent="0.2">
      <c r="B10" s="21">
        <f>Main!B5</f>
        <v>2</v>
      </c>
      <c r="C10" s="21">
        <f ca="1">OFFSET('Unit Cell Details'!$F$23,0,($B10-1)*8)</f>
        <v>8</v>
      </c>
      <c r="D10" s="21">
        <f ca="1">OFFSET('Unit Cell Details'!$F$36,0,($B10-1)*8)</f>
        <v>1920</v>
      </c>
      <c r="E10" s="21">
        <f ca="1">OFFSET('Unit Cell Details'!$F$37,0,($B10-1)*8)</f>
        <v>16594.800000000003</v>
      </c>
    </row>
    <row r="11" spans="2:6" x14ac:dyDescent="0.2">
      <c r="B11" s="18"/>
    </row>
    <row r="12" spans="2:6" x14ac:dyDescent="0.2">
      <c r="C12" s="21"/>
      <c r="D12" s="21"/>
    </row>
  </sheetData>
  <mergeCells count="2">
    <mergeCell ref="B3:E3"/>
    <mergeCell ref="C7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F6A9-CE67-4C66-81E4-474E5FD99959}">
  <sheetPr codeName="Sheet2">
    <tabColor rgb="FFFFFF00"/>
  </sheetPr>
  <dimension ref="B1:P12"/>
  <sheetViews>
    <sheetView zoomScaleNormal="100" workbookViewId="0">
      <selection activeCell="B4" sqref="B4:H21"/>
    </sheetView>
  </sheetViews>
  <sheetFormatPr baseColWidth="10" defaultColWidth="8.83203125" defaultRowHeight="15" x14ac:dyDescent="0.2"/>
  <cols>
    <col min="2" max="2" width="27.6640625" bestFit="1" customWidth="1"/>
    <col min="3" max="3" width="23.5" bestFit="1" customWidth="1"/>
    <col min="4" max="4" width="22.83203125" bestFit="1" customWidth="1"/>
    <col min="5" max="5" width="12" bestFit="1" customWidth="1"/>
    <col min="6" max="6" width="12" customWidth="1"/>
    <col min="7" max="7" width="13.33203125" bestFit="1" customWidth="1"/>
    <col min="10" max="10" width="11.1640625" bestFit="1" customWidth="1"/>
  </cols>
  <sheetData>
    <row r="1" spans="2:16" x14ac:dyDescent="0.2">
      <c r="B1" s="48"/>
      <c r="C1" s="48"/>
      <c r="D1" s="48"/>
      <c r="E1" s="48"/>
      <c r="F1" s="48"/>
      <c r="G1" s="245" t="s">
        <v>232</v>
      </c>
      <c r="H1" s="245"/>
      <c r="I1" s="245"/>
      <c r="J1" s="245"/>
      <c r="L1" s="5" t="s">
        <v>235</v>
      </c>
      <c r="M1" s="246" t="s">
        <v>240</v>
      </c>
      <c r="N1" s="246"/>
      <c r="O1" s="246"/>
    </row>
    <row r="2" spans="2:16" ht="16" thickBot="1" x14ac:dyDescent="0.25">
      <c r="B2" s="124" t="s">
        <v>0</v>
      </c>
      <c r="C2" s="125" t="s">
        <v>48</v>
      </c>
      <c r="D2" s="126"/>
      <c r="E2" s="124" t="s">
        <v>49</v>
      </c>
      <c r="F2" s="48"/>
      <c r="G2" s="127" t="s">
        <v>224</v>
      </c>
      <c r="H2" s="127" t="s">
        <v>230</v>
      </c>
      <c r="I2" s="127" t="s">
        <v>231</v>
      </c>
      <c r="J2" s="127" t="s">
        <v>240</v>
      </c>
      <c r="L2" s="133" t="s">
        <v>236</v>
      </c>
      <c r="M2" s="133" t="s">
        <v>237</v>
      </c>
      <c r="N2" s="133" t="s">
        <v>238</v>
      </c>
      <c r="O2" s="133" t="s">
        <v>239</v>
      </c>
      <c r="P2" s="34" t="s">
        <v>243</v>
      </c>
    </row>
    <row r="3" spans="2:16" x14ac:dyDescent="0.2">
      <c r="B3" s="5" t="s">
        <v>8</v>
      </c>
      <c r="C3" s="79" t="s">
        <v>45</v>
      </c>
      <c r="D3" t="s">
        <v>14</v>
      </c>
      <c r="E3" s="5" t="s">
        <v>36</v>
      </c>
      <c r="F3" s="48"/>
      <c r="G3" s="45" t="str">
        <f t="shared" ref="G3:G12" si="0">H3 &amp; "' x " &amp; I3 &amp; "'"</f>
        <v>18' x 12'</v>
      </c>
      <c r="H3" s="45">
        <v>18</v>
      </c>
      <c r="I3" s="45">
        <v>12</v>
      </c>
      <c r="J3" s="82">
        <f>(H3+10)*(I3+10)/3.28084^2</f>
        <v>57.228268977390726</v>
      </c>
      <c r="L3" s="134" t="s">
        <v>244</v>
      </c>
      <c r="M3" s="24">
        <v>7.63</v>
      </c>
      <c r="N3" s="24">
        <v>15.3</v>
      </c>
      <c r="O3" s="24">
        <v>22.9</v>
      </c>
      <c r="P3" s="24" t="s">
        <v>252</v>
      </c>
    </row>
    <row r="4" spans="2:16" x14ac:dyDescent="0.2">
      <c r="B4" s="5" t="s">
        <v>2</v>
      </c>
      <c r="C4" s="79" t="s">
        <v>298</v>
      </c>
      <c r="D4" t="s">
        <v>15</v>
      </c>
      <c r="E4" s="5" t="str">
        <f>IF(Main!B5&lt;3,"MSPV Vessel","")</f>
        <v>MSPV Vessel</v>
      </c>
      <c r="F4" s="48"/>
      <c r="G4" s="45" t="str">
        <f t="shared" si="0"/>
        <v>8' x 60'</v>
      </c>
      <c r="H4" s="45">
        <v>8</v>
      </c>
      <c r="I4" s="45">
        <v>60</v>
      </c>
      <c r="J4" s="82">
        <f t="shared" ref="J4:J12" si="1">(H4+10)*(I4+10)/3.28084^2</f>
        <v>117.05782290829922</v>
      </c>
      <c r="L4" s="134" t="s">
        <v>245</v>
      </c>
      <c r="M4" s="24">
        <v>8.6</v>
      </c>
      <c r="N4" s="24">
        <v>17.2</v>
      </c>
      <c r="O4" s="24">
        <v>25.8</v>
      </c>
      <c r="P4" s="24" t="s">
        <v>253</v>
      </c>
    </row>
    <row r="5" spans="2:16" x14ac:dyDescent="0.2">
      <c r="B5" s="5" t="s">
        <v>3</v>
      </c>
      <c r="D5" t="s">
        <v>13</v>
      </c>
      <c r="F5" s="48"/>
      <c r="G5" s="45" t="str">
        <f t="shared" si="0"/>
        <v>12' x 60'</v>
      </c>
      <c r="H5" s="45">
        <v>12</v>
      </c>
      <c r="I5" s="45">
        <v>60</v>
      </c>
      <c r="J5" s="82">
        <f t="shared" si="1"/>
        <v>143.07067244347681</v>
      </c>
      <c r="L5" s="134" t="s">
        <v>246</v>
      </c>
      <c r="M5" s="24">
        <v>10.5</v>
      </c>
      <c r="N5" s="24">
        <v>21</v>
      </c>
      <c r="O5" s="24">
        <v>31.48</v>
      </c>
      <c r="P5" s="24" t="s">
        <v>254</v>
      </c>
    </row>
    <row r="6" spans="2:16" x14ac:dyDescent="0.2">
      <c r="F6" s="48"/>
      <c r="G6" s="123" t="str">
        <f t="shared" si="0"/>
        <v>9.55' x 70'</v>
      </c>
      <c r="H6" s="123">
        <v>9.5500000000000007</v>
      </c>
      <c r="I6" s="123">
        <v>70</v>
      </c>
      <c r="J6" s="128">
        <f t="shared" si="1"/>
        <v>145.30034526077776</v>
      </c>
      <c r="L6" s="134" t="s">
        <v>247</v>
      </c>
      <c r="M6" s="24">
        <v>11.5</v>
      </c>
      <c r="N6" s="24">
        <v>23.1</v>
      </c>
      <c r="O6" s="24">
        <v>34.6</v>
      </c>
    </row>
    <row r="7" spans="2:16" x14ac:dyDescent="0.2">
      <c r="C7" t="s">
        <v>11</v>
      </c>
      <c r="F7" s="48"/>
      <c r="G7" s="123" t="str">
        <f t="shared" si="0"/>
        <v>12' x 70'</v>
      </c>
      <c r="H7" s="123">
        <v>12</v>
      </c>
      <c r="I7" s="123">
        <v>70</v>
      </c>
      <c r="J7" s="128">
        <f t="shared" si="1"/>
        <v>163.50933993540207</v>
      </c>
      <c r="L7" s="134" t="s">
        <v>248</v>
      </c>
      <c r="M7" s="24">
        <v>20.5</v>
      </c>
      <c r="N7" s="24">
        <v>41</v>
      </c>
      <c r="O7" s="24">
        <v>61.5</v>
      </c>
    </row>
    <row r="8" spans="2:16" x14ac:dyDescent="0.2">
      <c r="F8" s="48"/>
      <c r="G8" s="123" t="str">
        <f t="shared" si="0"/>
        <v>12' x 90'</v>
      </c>
      <c r="H8" s="123">
        <v>12</v>
      </c>
      <c r="I8" s="123">
        <v>90</v>
      </c>
      <c r="J8" s="128">
        <f t="shared" si="1"/>
        <v>204.38667491925258</v>
      </c>
      <c r="L8" s="134" t="s">
        <v>249</v>
      </c>
      <c r="M8" s="24">
        <v>19.5</v>
      </c>
      <c r="N8" s="24">
        <v>39</v>
      </c>
      <c r="O8" s="24">
        <v>58.5</v>
      </c>
    </row>
    <row r="9" spans="2:16" x14ac:dyDescent="0.2">
      <c r="F9" s="48"/>
      <c r="G9" s="45" t="str">
        <f t="shared" si="0"/>
        <v>14.3' x 80'</v>
      </c>
      <c r="H9" s="45">
        <v>14.3</v>
      </c>
      <c r="I9" s="45">
        <v>80</v>
      </c>
      <c r="J9" s="82">
        <f t="shared" si="1"/>
        <v>203.17893547654791</v>
      </c>
    </row>
    <row r="10" spans="2:16" x14ac:dyDescent="0.2">
      <c r="F10" s="48"/>
      <c r="G10" s="45" t="str">
        <f t="shared" si="0"/>
        <v>16' x 80'</v>
      </c>
      <c r="H10" s="45">
        <v>16</v>
      </c>
      <c r="I10" s="45">
        <v>80</v>
      </c>
      <c r="J10" s="82">
        <f t="shared" si="1"/>
        <v>217.3930996868414</v>
      </c>
    </row>
    <row r="11" spans="2:16" x14ac:dyDescent="0.2">
      <c r="F11" s="48"/>
      <c r="G11" s="45" t="str">
        <f t="shared" si="0"/>
        <v>18' x 90'</v>
      </c>
      <c r="H11" s="45">
        <v>18</v>
      </c>
      <c r="I11" s="45">
        <v>90</v>
      </c>
      <c r="J11" s="82">
        <f t="shared" si="1"/>
        <v>260.12849535177605</v>
      </c>
    </row>
    <row r="12" spans="2:16" x14ac:dyDescent="0.2">
      <c r="G12" s="45" t="str">
        <f t="shared" si="0"/>
        <v>19' x 116'</v>
      </c>
      <c r="H12" s="45">
        <v>19</v>
      </c>
      <c r="I12" s="45">
        <v>116</v>
      </c>
      <c r="J12" s="82">
        <f t="shared" si="1"/>
        <v>339.46768643406773</v>
      </c>
    </row>
  </sheetData>
  <mergeCells count="2">
    <mergeCell ref="G1:J1"/>
    <mergeCell ref="M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85458-E806-4B9B-9751-A2B817B92D34}">
  <sheetPr codeName="Sheet14">
    <tabColor theme="9" tint="0.59999389629810485"/>
  </sheetPr>
  <dimension ref="A1:R63"/>
  <sheetViews>
    <sheetView zoomScale="113" workbookViewId="0">
      <selection activeCell="O20" sqref="O20"/>
    </sheetView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hidden="1" customWidth="1"/>
    <col min="8" max="8" width="1.6640625" customWidth="1"/>
    <col min="9" max="9" width="13.6640625" customWidth="1"/>
    <col min="10" max="10" width="54.6640625" customWidth="1"/>
    <col min="12" max="12" width="11" hidden="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hidden="1" customWidth="1"/>
  </cols>
  <sheetData>
    <row r="1" spans="1:1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18" x14ac:dyDescent="0.2">
      <c r="A2" s="247" t="s">
        <v>153</v>
      </c>
      <c r="B2" s="99"/>
      <c r="C2" s="26"/>
      <c r="D2" s="26"/>
      <c r="E2" s="69" t="s">
        <v>140</v>
      </c>
      <c r="F2" s="70" t="s">
        <v>90</v>
      </c>
      <c r="G2" s="70" t="s">
        <v>90</v>
      </c>
      <c r="H2" s="26"/>
      <c r="I2" s="26"/>
      <c r="J2" s="69"/>
      <c r="K2" s="70"/>
      <c r="L2" s="26"/>
      <c r="M2" s="26"/>
      <c r="N2" s="26"/>
      <c r="O2" s="26"/>
      <c r="P2" s="26"/>
      <c r="Q2" s="26"/>
      <c r="R2" s="26"/>
    </row>
    <row r="3" spans="1:18" x14ac:dyDescent="0.2">
      <c r="A3" s="248"/>
      <c r="B3" s="110">
        <f>Main!F7</f>
        <v>1</v>
      </c>
      <c r="C3" s="26"/>
      <c r="D3" s="26"/>
      <c r="E3" s="66" t="s">
        <v>149</v>
      </c>
      <c r="F3" s="67">
        <f>F12/24</f>
        <v>1</v>
      </c>
      <c r="G3" s="67">
        <f>G12/24</f>
        <v>6.8020470972222205E-2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2">
      <c r="A4" s="26"/>
      <c r="B4" s="106" t="s">
        <v>223</v>
      </c>
      <c r="C4" s="109" t="s">
        <v>222</v>
      </c>
      <c r="D4" s="60"/>
      <c r="E4" s="26" t="s">
        <v>150</v>
      </c>
      <c r="F4" s="64">
        <f>K12/24</f>
        <v>2</v>
      </c>
      <c r="G4" s="64">
        <f>L12/24</f>
        <v>6.9159651527777782E-2</v>
      </c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2">
      <c r="A5" s="103" t="s">
        <v>192</v>
      </c>
      <c r="B5" s="104">
        <v>0</v>
      </c>
      <c r="C5" s="111">
        <v>0</v>
      </c>
      <c r="D5" s="105" t="s">
        <v>38</v>
      </c>
      <c r="E5" s="32" t="s">
        <v>151</v>
      </c>
      <c r="F5" s="68">
        <f>P12/24</f>
        <v>17.25</v>
      </c>
      <c r="G5" s="68">
        <f>Q12/24</f>
        <v>0.54872049000000001</v>
      </c>
      <c r="H5" s="26"/>
      <c r="I5" s="26"/>
      <c r="J5" s="71"/>
      <c r="K5" s="72"/>
      <c r="L5" s="26"/>
      <c r="M5" s="26"/>
      <c r="N5" s="26"/>
      <c r="O5" s="26"/>
      <c r="P5" s="26"/>
      <c r="Q5" s="26"/>
      <c r="R5" s="26"/>
    </row>
    <row r="6" spans="1:18" x14ac:dyDescent="0.2">
      <c r="A6" s="31" t="s">
        <v>193</v>
      </c>
      <c r="B6" s="102">
        <f>F5+F7*(IF(B2&lt;&gt;"",B2,B3)-1)</f>
        <v>17.25</v>
      </c>
      <c r="C6" s="112">
        <f>F5+G5+(F7+G7)*(IF(B2&lt;&gt;"",B2,B3)-1)</f>
        <v>17.798720490000001</v>
      </c>
      <c r="D6" s="33" t="s">
        <v>38</v>
      </c>
      <c r="E6" s="100" t="s">
        <v>120</v>
      </c>
      <c r="F6" s="70" t="s">
        <v>90</v>
      </c>
      <c r="G6" s="70" t="s">
        <v>90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2">
      <c r="A7" s="26"/>
      <c r="B7" s="26"/>
      <c r="C7" s="26"/>
      <c r="D7" s="26"/>
      <c r="E7" s="30" t="s">
        <v>152</v>
      </c>
      <c r="F7" s="64">
        <f>F5+18/24</f>
        <v>18</v>
      </c>
      <c r="G7" s="97">
        <f>G5</f>
        <v>0.54872049000000001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2">
      <c r="A8" s="26"/>
      <c r="B8" s="26"/>
      <c r="C8" s="26"/>
      <c r="D8" s="26"/>
      <c r="E8" s="31"/>
      <c r="F8" s="68"/>
      <c r="G8" s="98"/>
      <c r="H8" s="26"/>
      <c r="I8" s="26"/>
      <c r="J8" s="71"/>
      <c r="K8" s="72"/>
      <c r="L8" s="26"/>
      <c r="M8" s="26"/>
      <c r="N8" s="26"/>
      <c r="O8" s="26"/>
      <c r="P8" s="26"/>
      <c r="Q8" s="26"/>
      <c r="R8" s="26"/>
    </row>
    <row r="9" spans="1:18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1:18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18" ht="15" customHeight="1" x14ac:dyDescent="0.2">
      <c r="A11" s="26"/>
      <c r="B11" s="26"/>
      <c r="C11" s="26"/>
      <c r="D11" s="42"/>
      <c r="E11" s="43" t="s">
        <v>145</v>
      </c>
      <c r="F11" s="44"/>
      <c r="G11" s="44"/>
      <c r="H11" s="26"/>
      <c r="I11" s="42"/>
      <c r="J11" s="43" t="s">
        <v>146</v>
      </c>
      <c r="K11" s="44"/>
      <c r="L11" s="44"/>
      <c r="M11" s="26"/>
      <c r="N11" s="42"/>
      <c r="O11" s="43" t="s">
        <v>147</v>
      </c>
      <c r="P11" s="44"/>
      <c r="Q11" s="44"/>
      <c r="R11" s="26"/>
    </row>
    <row r="12" spans="1:18" x14ac:dyDescent="0.2">
      <c r="A12" s="26"/>
      <c r="B12" s="26"/>
      <c r="C12" s="26"/>
      <c r="D12" s="35" t="s">
        <v>112</v>
      </c>
      <c r="E12" s="36"/>
      <c r="F12" s="94">
        <f>SUM(F16:F59)</f>
        <v>24</v>
      </c>
      <c r="G12" s="94">
        <f>SUM(G16:G59)</f>
        <v>1.632491303333333</v>
      </c>
      <c r="H12" s="26"/>
      <c r="I12" s="35" t="s">
        <v>112</v>
      </c>
      <c r="J12" s="36"/>
      <c r="K12" s="37">
        <f>SUM(K16:K59)</f>
        <v>48</v>
      </c>
      <c r="L12" s="94">
        <f>SUM(L16:L59)</f>
        <v>1.6598316366666668</v>
      </c>
      <c r="M12" s="26"/>
      <c r="N12" s="35" t="s">
        <v>112</v>
      </c>
      <c r="O12" s="36"/>
      <c r="P12" s="37">
        <f>SUM(P16:P59)</f>
        <v>414</v>
      </c>
      <c r="Q12" s="94">
        <f>SUM(Q16:Q59)</f>
        <v>13.16929176</v>
      </c>
      <c r="R12" s="26"/>
    </row>
    <row r="13" spans="1:18" x14ac:dyDescent="0.2">
      <c r="A13" s="26"/>
      <c r="B13" s="26"/>
      <c r="C13" s="26"/>
      <c r="D13" s="73"/>
      <c r="E13" s="74"/>
      <c r="F13" s="75"/>
      <c r="G13" s="75"/>
      <c r="H13" s="26"/>
      <c r="I13" s="73"/>
      <c r="J13" s="74"/>
      <c r="K13" s="75"/>
      <c r="L13" s="75"/>
      <c r="M13" s="26"/>
      <c r="N13" s="73"/>
      <c r="O13" s="74"/>
      <c r="P13" s="75"/>
      <c r="Q13" s="75"/>
      <c r="R13" s="26"/>
    </row>
    <row r="14" spans="1:18" ht="15" customHeight="1" x14ac:dyDescent="0.2">
      <c r="A14" s="26"/>
      <c r="B14" s="26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49" t="s">
        <v>83</v>
      </c>
      <c r="J14" s="38" t="s">
        <v>16</v>
      </c>
      <c r="K14" s="39" t="s">
        <v>17</v>
      </c>
      <c r="L14" s="39" t="s">
        <v>215</v>
      </c>
      <c r="M14" s="26"/>
      <c r="N14" s="249" t="s">
        <v>83</v>
      </c>
      <c r="O14" s="38" t="s">
        <v>16</v>
      </c>
      <c r="P14" s="39" t="s">
        <v>17</v>
      </c>
      <c r="Q14" s="39" t="s">
        <v>215</v>
      </c>
      <c r="R14" s="26"/>
    </row>
    <row r="15" spans="1:18" ht="15" customHeight="1" x14ac:dyDescent="0.2">
      <c r="A15" s="26"/>
      <c r="B15" s="26"/>
      <c r="C15" s="26"/>
      <c r="D15" s="250"/>
      <c r="E15" s="252"/>
      <c r="F15" s="41" t="s">
        <v>18</v>
      </c>
      <c r="G15" s="41" t="s">
        <v>18</v>
      </c>
      <c r="H15" s="26"/>
      <c r="I15" s="250"/>
      <c r="J15" s="40"/>
      <c r="K15" s="41" t="s">
        <v>18</v>
      </c>
      <c r="L15" s="41" t="s">
        <v>18</v>
      </c>
      <c r="M15" s="26"/>
      <c r="N15" s="250"/>
      <c r="O15" s="40"/>
      <c r="P15" s="41" t="s">
        <v>18</v>
      </c>
      <c r="Q15" s="41" t="s">
        <v>18</v>
      </c>
      <c r="R15" s="26"/>
    </row>
    <row r="16" spans="1:18" x14ac:dyDescent="0.2">
      <c r="A16" s="26"/>
      <c r="B16" s="26"/>
      <c r="C16" s="26"/>
      <c r="D16" s="27">
        <v>1</v>
      </c>
      <c r="E16" s="26" t="s">
        <v>19</v>
      </c>
      <c r="F16" s="28">
        <v>1</v>
      </c>
      <c r="G16" s="64"/>
      <c r="H16" s="26"/>
      <c r="I16" s="27">
        <v>1</v>
      </c>
      <c r="J16" s="26" t="s">
        <v>30</v>
      </c>
      <c r="K16" s="28">
        <v>6</v>
      </c>
      <c r="L16" s="28"/>
      <c r="M16" s="26"/>
      <c r="N16" s="27">
        <v>1</v>
      </c>
      <c r="O16" s="26" t="s">
        <v>142</v>
      </c>
      <c r="P16" s="28">
        <f>$F$12</f>
        <v>24</v>
      </c>
      <c r="Q16" s="64">
        <f>$G$12</f>
        <v>1.632491303333333</v>
      </c>
      <c r="R16" s="26"/>
    </row>
    <row r="17" spans="1:18" x14ac:dyDescent="0.2">
      <c r="A17" s="26"/>
      <c r="B17" s="26"/>
      <c r="C17" s="26"/>
      <c r="D17" s="27">
        <v>2</v>
      </c>
      <c r="E17" s="26" t="s">
        <v>20</v>
      </c>
      <c r="F17" s="28">
        <v>2</v>
      </c>
      <c r="G17" s="64">
        <f>'Unit Cell Details'!$F$46</f>
        <v>0.56239065666666666</v>
      </c>
      <c r="H17" s="26"/>
      <c r="I17" s="27">
        <v>2</v>
      </c>
      <c r="J17" s="26" t="s">
        <v>30</v>
      </c>
      <c r="K17" s="28">
        <v>6</v>
      </c>
      <c r="L17" s="28"/>
      <c r="M17" s="26"/>
      <c r="N17" s="27">
        <v>2</v>
      </c>
      <c r="O17" s="26" t="s">
        <v>35</v>
      </c>
      <c r="P17" s="28">
        <v>18</v>
      </c>
      <c r="Q17" s="28"/>
      <c r="R17" s="26"/>
    </row>
    <row r="18" spans="1:18" x14ac:dyDescent="0.2">
      <c r="A18" s="26"/>
      <c r="B18" s="26"/>
      <c r="C18" s="26"/>
      <c r="D18" s="27">
        <v>3</v>
      </c>
      <c r="E18" s="26" t="s">
        <v>21</v>
      </c>
      <c r="F18" s="28">
        <v>2</v>
      </c>
      <c r="G18" s="64">
        <f>'Unit Cell Details'!$F$46</f>
        <v>0.56239065666666666</v>
      </c>
      <c r="H18" s="26"/>
      <c r="I18" s="27">
        <v>3</v>
      </c>
      <c r="J18" s="26" t="s">
        <v>30</v>
      </c>
      <c r="K18" s="28">
        <v>6</v>
      </c>
      <c r="L18" s="28"/>
      <c r="M18" s="26"/>
      <c r="N18" s="27">
        <v>3</v>
      </c>
      <c r="O18" s="26" t="s">
        <v>144</v>
      </c>
      <c r="P18" s="28">
        <f>$K$12</f>
        <v>48</v>
      </c>
      <c r="Q18" s="64">
        <f>$L$12</f>
        <v>1.6598316366666668</v>
      </c>
      <c r="R18" s="26"/>
    </row>
    <row r="19" spans="1:18" x14ac:dyDescent="0.2">
      <c r="A19" s="26"/>
      <c r="B19" s="26"/>
      <c r="C19" s="26"/>
      <c r="D19" s="27">
        <v>4</v>
      </c>
      <c r="E19" s="26" t="s">
        <v>22</v>
      </c>
      <c r="F19" s="28">
        <v>2</v>
      </c>
      <c r="G19" s="64">
        <f>'Unit Cell Details'!$F$46</f>
        <v>0.56239065666666666</v>
      </c>
      <c r="H19" s="26"/>
      <c r="I19" s="27">
        <v>4</v>
      </c>
      <c r="J19" s="26" t="s">
        <v>31</v>
      </c>
      <c r="K19" s="28">
        <v>6</v>
      </c>
      <c r="L19" s="28"/>
      <c r="M19" s="26"/>
      <c r="N19" s="27">
        <v>4</v>
      </c>
      <c r="O19" s="26" t="s">
        <v>143</v>
      </c>
      <c r="P19" s="28">
        <v>18</v>
      </c>
      <c r="Q19" s="28"/>
      <c r="R19" s="26"/>
    </row>
    <row r="20" spans="1:18" x14ac:dyDescent="0.2">
      <c r="A20" s="26"/>
      <c r="B20" s="26"/>
      <c r="C20" s="26"/>
      <c r="D20" s="27">
        <v>5</v>
      </c>
      <c r="E20" s="26" t="s">
        <v>23</v>
      </c>
      <c r="F20" s="28">
        <v>1.5</v>
      </c>
      <c r="G20" s="64">
        <f>'Unit Cell Details'!$F$49</f>
        <v>-9.1134444444444448E-3</v>
      </c>
      <c r="H20" s="26"/>
      <c r="I20" s="27">
        <v>5</v>
      </c>
      <c r="J20" s="26" t="s">
        <v>32</v>
      </c>
      <c r="K20" s="28">
        <v>8</v>
      </c>
      <c r="L20" s="64">
        <f>'Unit Cell Details'!$F$46+'Unit Cell Details'!$F$49</f>
        <v>0.55327721222222226</v>
      </c>
      <c r="M20" s="26"/>
      <c r="N20" s="27">
        <v>5</v>
      </c>
      <c r="O20" s="26" t="s">
        <v>142</v>
      </c>
      <c r="P20" s="28">
        <f>$F$12</f>
        <v>24</v>
      </c>
      <c r="Q20" s="64">
        <f>$G$12</f>
        <v>1.632491303333333</v>
      </c>
      <c r="R20" s="26"/>
    </row>
    <row r="21" spans="1:18" x14ac:dyDescent="0.2">
      <c r="A21" s="26"/>
      <c r="B21" s="26"/>
      <c r="C21" s="26"/>
      <c r="D21" s="27">
        <v>6</v>
      </c>
      <c r="E21" s="26" t="s">
        <v>23</v>
      </c>
      <c r="F21" s="28">
        <v>1.5</v>
      </c>
      <c r="G21" s="64">
        <f>'Unit Cell Details'!$F$49</f>
        <v>-9.1134444444444448E-3</v>
      </c>
      <c r="H21" s="26"/>
      <c r="I21" s="27">
        <v>6</v>
      </c>
      <c r="J21" s="26" t="s">
        <v>33</v>
      </c>
      <c r="K21" s="28">
        <v>8</v>
      </c>
      <c r="L21" s="64">
        <f>'Unit Cell Details'!$F$46+'Unit Cell Details'!$F$49</f>
        <v>0.55327721222222226</v>
      </c>
      <c r="M21" s="26"/>
      <c r="N21" s="27">
        <v>6</v>
      </c>
      <c r="O21" s="26" t="s">
        <v>35</v>
      </c>
      <c r="P21" s="28">
        <v>18</v>
      </c>
      <c r="Q21" s="28"/>
      <c r="R21" s="26"/>
    </row>
    <row r="22" spans="1:18" x14ac:dyDescent="0.2">
      <c r="A22" s="26"/>
      <c r="B22" s="26"/>
      <c r="C22" s="26"/>
      <c r="D22" s="27">
        <v>7</v>
      </c>
      <c r="E22" s="26" t="s">
        <v>23</v>
      </c>
      <c r="F22" s="28">
        <v>1.5</v>
      </c>
      <c r="G22" s="64">
        <f>'Unit Cell Details'!$F$49</f>
        <v>-9.1134444444444448E-3</v>
      </c>
      <c r="H22" s="26"/>
      <c r="I22" s="27">
        <v>7</v>
      </c>
      <c r="J22" s="26" t="s">
        <v>34</v>
      </c>
      <c r="K22" s="28">
        <v>8</v>
      </c>
      <c r="L22" s="64">
        <f>'Unit Cell Details'!$F$46+'Unit Cell Details'!$F$49</f>
        <v>0.55327721222222226</v>
      </c>
      <c r="M22" s="26"/>
      <c r="N22" s="27">
        <v>7</v>
      </c>
      <c r="O22" s="26" t="s">
        <v>144</v>
      </c>
      <c r="P22" s="28">
        <f>$K$12</f>
        <v>48</v>
      </c>
      <c r="Q22" s="64">
        <f>$L$12</f>
        <v>1.6598316366666668</v>
      </c>
      <c r="R22" s="26"/>
    </row>
    <row r="23" spans="1:18" x14ac:dyDescent="0.2">
      <c r="A23" s="26"/>
      <c r="B23" s="26"/>
      <c r="C23" s="26"/>
      <c r="D23" s="27">
        <v>8</v>
      </c>
      <c r="E23" s="26" t="s">
        <v>23</v>
      </c>
      <c r="F23" s="28">
        <v>1.5</v>
      </c>
      <c r="G23" s="64">
        <f>'Unit Cell Details'!$F$49</f>
        <v>-9.1134444444444448E-3</v>
      </c>
      <c r="H23" s="26"/>
      <c r="I23" s="27"/>
      <c r="J23" s="26"/>
      <c r="K23" s="28"/>
      <c r="L23" s="28"/>
      <c r="M23" s="26"/>
      <c r="N23" s="27">
        <v>8</v>
      </c>
      <c r="O23" s="26" t="s">
        <v>143</v>
      </c>
      <c r="P23" s="28">
        <v>18</v>
      </c>
      <c r="Q23" s="28"/>
      <c r="R23" s="26"/>
    </row>
    <row r="24" spans="1:18" x14ac:dyDescent="0.2">
      <c r="A24" s="26"/>
      <c r="B24" s="26"/>
      <c r="C24" s="26"/>
      <c r="D24" s="27">
        <v>9</v>
      </c>
      <c r="E24" s="26" t="s">
        <v>23</v>
      </c>
      <c r="F24" s="28">
        <v>1.5</v>
      </c>
      <c r="G24" s="64">
        <f>'Unit Cell Details'!$F$49</f>
        <v>-9.1134444444444448E-3</v>
      </c>
      <c r="H24" s="26"/>
      <c r="I24" s="27"/>
      <c r="J24" s="26"/>
      <c r="K24" s="28"/>
      <c r="L24" s="28"/>
      <c r="M24" s="26"/>
      <c r="N24" s="27">
        <v>9</v>
      </c>
      <c r="O24" s="26" t="s">
        <v>142</v>
      </c>
      <c r="P24" s="28">
        <f>$F$12</f>
        <v>24</v>
      </c>
      <c r="Q24" s="64">
        <f>$G$12</f>
        <v>1.632491303333333</v>
      </c>
      <c r="R24" s="26"/>
    </row>
    <row r="25" spans="1:18" x14ac:dyDescent="0.2">
      <c r="A25" s="26"/>
      <c r="B25" s="26"/>
      <c r="C25" s="26"/>
      <c r="D25" s="27">
        <v>10</v>
      </c>
      <c r="E25" s="26" t="s">
        <v>23</v>
      </c>
      <c r="F25" s="28">
        <v>1.5</v>
      </c>
      <c r="G25" s="64">
        <f>'Unit Cell Details'!$F$49</f>
        <v>-9.1134444444444448E-3</v>
      </c>
      <c r="H25" s="26"/>
      <c r="I25" s="27"/>
      <c r="J25" s="26"/>
      <c r="K25" s="28"/>
      <c r="L25" s="28"/>
      <c r="M25" s="26"/>
      <c r="N25" s="27">
        <v>10</v>
      </c>
      <c r="O25" s="26" t="s">
        <v>35</v>
      </c>
      <c r="P25" s="28">
        <v>18</v>
      </c>
      <c r="Q25" s="28"/>
      <c r="R25" s="26"/>
    </row>
    <row r="26" spans="1:18" x14ac:dyDescent="0.2">
      <c r="A26" s="26"/>
      <c r="B26" s="26"/>
      <c r="C26" s="26"/>
      <c r="D26" s="27">
        <v>11</v>
      </c>
      <c r="E26" s="26" t="s">
        <v>24</v>
      </c>
      <c r="F26" s="28">
        <v>1</v>
      </c>
      <c r="G26" s="28"/>
      <c r="H26" s="26"/>
      <c r="I26" s="27"/>
      <c r="J26" s="26"/>
      <c r="K26" s="28"/>
      <c r="L26" s="28"/>
      <c r="M26" s="26"/>
      <c r="N26" s="27">
        <v>11</v>
      </c>
      <c r="O26" s="26" t="s">
        <v>144</v>
      </c>
      <c r="P26" s="28">
        <f>$K$12</f>
        <v>48</v>
      </c>
      <c r="Q26" s="64">
        <f>$L$12</f>
        <v>1.6598316366666668</v>
      </c>
      <c r="R26" s="26"/>
    </row>
    <row r="27" spans="1:18" x14ac:dyDescent="0.2">
      <c r="A27" s="26"/>
      <c r="B27" s="26"/>
      <c r="C27" s="26"/>
      <c r="D27" s="27">
        <v>12</v>
      </c>
      <c r="E27" s="26" t="s">
        <v>24</v>
      </c>
      <c r="F27" s="28">
        <v>1</v>
      </c>
      <c r="G27" s="28"/>
      <c r="H27" s="26"/>
      <c r="I27" s="27"/>
      <c r="J27" s="26"/>
      <c r="K27" s="28"/>
      <c r="L27" s="28"/>
      <c r="M27" s="26"/>
      <c r="N27" s="27">
        <v>12</v>
      </c>
      <c r="O27" s="26" t="s">
        <v>143</v>
      </c>
      <c r="P27" s="28">
        <v>18</v>
      </c>
      <c r="Q27" s="28"/>
      <c r="R27" s="26"/>
    </row>
    <row r="28" spans="1:18" x14ac:dyDescent="0.2">
      <c r="A28" s="26"/>
      <c r="B28" s="26"/>
      <c r="C28" s="26"/>
      <c r="D28" s="27">
        <v>13</v>
      </c>
      <c r="E28" s="26" t="s">
        <v>24</v>
      </c>
      <c r="F28" s="28">
        <v>1</v>
      </c>
      <c r="G28" s="28"/>
      <c r="H28" s="26"/>
      <c r="I28" s="27"/>
      <c r="J28" s="26"/>
      <c r="K28" s="28"/>
      <c r="L28" s="28"/>
      <c r="M28" s="26"/>
      <c r="N28" s="27">
        <v>13</v>
      </c>
      <c r="O28" s="26" t="s">
        <v>142</v>
      </c>
      <c r="P28" s="28">
        <f>$F$12</f>
        <v>24</v>
      </c>
      <c r="Q28" s="64">
        <f>$G$12</f>
        <v>1.632491303333333</v>
      </c>
      <c r="R28" s="26"/>
    </row>
    <row r="29" spans="1:18" x14ac:dyDescent="0.2">
      <c r="A29" s="26"/>
      <c r="B29" s="26"/>
      <c r="C29" s="26"/>
      <c r="D29" s="27">
        <v>14</v>
      </c>
      <c r="E29" s="26" t="s">
        <v>25</v>
      </c>
      <c r="F29" s="28">
        <v>2</v>
      </c>
      <c r="G29" s="28"/>
      <c r="H29" s="26"/>
      <c r="I29" s="27"/>
      <c r="J29" s="26"/>
      <c r="K29" s="28"/>
      <c r="L29" s="28"/>
      <c r="M29" s="26"/>
      <c r="N29" s="27">
        <v>14</v>
      </c>
      <c r="O29" s="26" t="s">
        <v>35</v>
      </c>
      <c r="P29" s="28">
        <v>18</v>
      </c>
      <c r="Q29" s="28"/>
      <c r="R29" s="26"/>
    </row>
    <row r="30" spans="1:18" x14ac:dyDescent="0.2">
      <c r="A30" s="26"/>
      <c r="B30" s="26"/>
      <c r="C30" s="26"/>
      <c r="D30" s="27">
        <v>15</v>
      </c>
      <c r="E30" s="26" t="s">
        <v>26</v>
      </c>
      <c r="F30" s="28">
        <v>3</v>
      </c>
      <c r="G30" s="28"/>
      <c r="H30" s="26"/>
      <c r="I30" s="27"/>
      <c r="J30" s="26"/>
      <c r="K30" s="28"/>
      <c r="L30" s="28"/>
      <c r="M30" s="26"/>
      <c r="N30" s="27">
        <v>15</v>
      </c>
      <c r="O30" s="26" t="s">
        <v>144</v>
      </c>
      <c r="P30" s="28">
        <f>$K$12</f>
        <v>48</v>
      </c>
      <c r="Q30" s="64">
        <f>$L$12</f>
        <v>1.6598316366666668</v>
      </c>
      <c r="R30" s="26"/>
    </row>
    <row r="31" spans="1:18" x14ac:dyDescent="0.2">
      <c r="A31" s="26"/>
      <c r="B31" s="26"/>
      <c r="C31" s="26"/>
      <c r="D31" s="27"/>
      <c r="E31" s="26"/>
      <c r="F31" s="29"/>
      <c r="G31" s="28"/>
      <c r="H31" s="26"/>
      <c r="I31" s="27"/>
      <c r="J31" s="26"/>
      <c r="K31" s="28"/>
      <c r="L31" s="28"/>
      <c r="M31" s="26"/>
      <c r="N31" s="27"/>
      <c r="O31" s="26"/>
      <c r="P31" s="28"/>
      <c r="Q31" s="28"/>
      <c r="R31" s="26"/>
    </row>
    <row r="32" spans="1:18" x14ac:dyDescent="0.2">
      <c r="A32" s="26"/>
      <c r="B32" s="26"/>
      <c r="C32" s="26"/>
      <c r="D32" s="27"/>
      <c r="E32" s="26"/>
      <c r="F32" s="28"/>
      <c r="G32" s="28"/>
      <c r="H32" s="26"/>
      <c r="I32" s="27"/>
      <c r="J32" s="26"/>
      <c r="K32" s="28"/>
      <c r="L32" s="28"/>
      <c r="M32" s="26"/>
      <c r="N32" s="27"/>
      <c r="O32" s="26" t="s">
        <v>148</v>
      </c>
      <c r="P32" s="28"/>
      <c r="Q32" s="28"/>
      <c r="R32" s="26"/>
    </row>
    <row r="33" spans="1:18" x14ac:dyDescent="0.2">
      <c r="A33" s="26"/>
      <c r="B33" s="26"/>
      <c r="C33" s="26"/>
      <c r="D33" s="27"/>
      <c r="E33" s="26"/>
      <c r="F33" s="28"/>
      <c r="G33" s="28"/>
      <c r="H33" s="26"/>
      <c r="I33" s="27"/>
      <c r="J33" s="26"/>
      <c r="K33" s="28"/>
      <c r="L33" s="28"/>
      <c r="M33" s="26"/>
      <c r="N33" s="27"/>
      <c r="O33" s="26"/>
      <c r="P33" s="28"/>
      <c r="Q33" s="28"/>
      <c r="R33" s="26"/>
    </row>
    <row r="34" spans="1:18" x14ac:dyDescent="0.2">
      <c r="A34" s="26"/>
      <c r="B34" s="26"/>
      <c r="C34" s="26"/>
      <c r="D34" s="27"/>
      <c r="E34" s="26"/>
      <c r="F34" s="28"/>
      <c r="G34" s="28"/>
      <c r="H34" s="26"/>
      <c r="I34" s="27"/>
      <c r="J34" s="26"/>
      <c r="K34" s="28"/>
      <c r="L34" s="28"/>
      <c r="M34" s="26"/>
      <c r="N34" s="27"/>
      <c r="O34" s="26"/>
      <c r="P34" s="28"/>
      <c r="Q34" s="28"/>
      <c r="R34" s="26"/>
    </row>
    <row r="35" spans="1:18" x14ac:dyDescent="0.2">
      <c r="A35" s="26"/>
      <c r="B35" s="26"/>
      <c r="C35" s="26"/>
      <c r="D35" s="27"/>
      <c r="E35" s="26"/>
      <c r="F35" s="28"/>
      <c r="G35" s="28"/>
      <c r="H35" s="26"/>
      <c r="I35" s="27"/>
      <c r="J35" s="26"/>
      <c r="K35" s="28"/>
      <c r="L35" s="28"/>
      <c r="M35" s="26"/>
      <c r="N35" s="27"/>
      <c r="O35" s="26"/>
      <c r="P35" s="28"/>
      <c r="Q35" s="28"/>
      <c r="R35" s="26"/>
    </row>
    <row r="36" spans="1:18" x14ac:dyDescent="0.2">
      <c r="A36" s="26"/>
      <c r="B36" s="26"/>
      <c r="C36" s="26"/>
      <c r="D36" s="27"/>
      <c r="E36" s="26"/>
      <c r="F36" s="28"/>
      <c r="G36" s="28"/>
      <c r="H36" s="26"/>
      <c r="I36" s="27"/>
      <c r="J36" s="26"/>
      <c r="K36" s="28"/>
      <c r="L36" s="28"/>
      <c r="M36" s="26"/>
      <c r="N36" s="27"/>
      <c r="O36" s="26"/>
      <c r="P36" s="28"/>
      <c r="Q36" s="28"/>
      <c r="R36" s="26"/>
    </row>
    <row r="37" spans="1:18" x14ac:dyDescent="0.2">
      <c r="A37" s="26"/>
      <c r="B37" s="26"/>
      <c r="C37" s="26"/>
      <c r="D37" s="27"/>
      <c r="E37" s="26"/>
      <c r="F37" s="28"/>
      <c r="G37" s="28"/>
      <c r="H37" s="26"/>
      <c r="I37" s="27"/>
      <c r="J37" s="26"/>
      <c r="K37" s="28"/>
      <c r="L37" s="28"/>
      <c r="M37" s="26"/>
      <c r="N37" s="27"/>
      <c r="O37" s="26"/>
      <c r="P37" s="28"/>
      <c r="Q37" s="28"/>
      <c r="R37" s="26"/>
    </row>
    <row r="38" spans="1:18" x14ac:dyDescent="0.2">
      <c r="A38" s="26"/>
      <c r="B38" s="26"/>
      <c r="C38" s="26"/>
      <c r="D38" s="27"/>
      <c r="E38" s="26"/>
      <c r="F38" s="28"/>
      <c r="G38" s="28"/>
      <c r="H38" s="26"/>
      <c r="I38" s="27"/>
      <c r="J38" s="26"/>
      <c r="K38" s="28"/>
      <c r="L38" s="28"/>
      <c r="M38" s="26"/>
      <c r="N38" s="27"/>
      <c r="O38" s="26"/>
      <c r="P38" s="28"/>
      <c r="Q38" s="28"/>
      <c r="R38" s="26"/>
    </row>
    <row r="39" spans="1:18" x14ac:dyDescent="0.2">
      <c r="A39" s="26"/>
      <c r="B39" s="26"/>
      <c r="C39" s="26"/>
      <c r="D39" s="27"/>
      <c r="E39" s="26"/>
      <c r="F39" s="28"/>
      <c r="G39" s="28"/>
      <c r="H39" s="26"/>
      <c r="I39" s="27"/>
      <c r="J39" s="26"/>
      <c r="K39" s="28"/>
      <c r="L39" s="28"/>
      <c r="M39" s="26"/>
      <c r="N39" s="27"/>
      <c r="O39" s="26"/>
      <c r="P39" s="28"/>
      <c r="Q39" s="28"/>
      <c r="R39" s="26"/>
    </row>
    <row r="40" spans="1:18" x14ac:dyDescent="0.2">
      <c r="A40" s="26"/>
      <c r="B40" s="26"/>
      <c r="C40" s="26"/>
      <c r="D40" s="27"/>
      <c r="E40" s="26"/>
      <c r="F40" s="28"/>
      <c r="G40" s="28"/>
      <c r="H40" s="26"/>
      <c r="I40" s="27"/>
      <c r="J40" s="26"/>
      <c r="K40" s="28"/>
      <c r="L40" s="28"/>
      <c r="M40" s="26"/>
      <c r="N40" s="27"/>
      <c r="O40" s="26"/>
      <c r="P40" s="28"/>
      <c r="Q40" s="28"/>
      <c r="R40" s="26"/>
    </row>
    <row r="41" spans="1:18" x14ac:dyDescent="0.2">
      <c r="A41" s="26"/>
      <c r="B41" s="26"/>
      <c r="C41" s="26"/>
      <c r="D41" s="27"/>
      <c r="E41" s="26"/>
      <c r="F41" s="28"/>
      <c r="G41" s="28"/>
      <c r="H41" s="26"/>
      <c r="I41" s="27"/>
      <c r="J41" s="26"/>
      <c r="K41" s="28"/>
      <c r="L41" s="28"/>
      <c r="M41" s="26"/>
      <c r="N41" s="27"/>
      <c r="O41" s="26"/>
      <c r="P41" s="28"/>
      <c r="Q41" s="28"/>
      <c r="R41" s="26"/>
    </row>
    <row r="42" spans="1:18" x14ac:dyDescent="0.2">
      <c r="A42" s="26"/>
      <c r="B42" s="26"/>
      <c r="C42" s="26"/>
      <c r="D42" s="27"/>
      <c r="E42" s="26"/>
      <c r="F42" s="28"/>
      <c r="G42" s="28"/>
      <c r="H42" s="26"/>
      <c r="I42" s="27"/>
      <c r="J42" s="26"/>
      <c r="K42" s="28"/>
      <c r="L42" s="28"/>
      <c r="M42" s="26"/>
      <c r="N42" s="27"/>
      <c r="O42" s="26"/>
      <c r="P42" s="28"/>
      <c r="Q42" s="28"/>
      <c r="R42" s="26"/>
    </row>
    <row r="43" spans="1:18" x14ac:dyDescent="0.2">
      <c r="A43" s="26"/>
      <c r="B43" s="26"/>
      <c r="C43" s="26"/>
      <c r="D43" s="27"/>
      <c r="E43" s="26"/>
      <c r="F43" s="28"/>
      <c r="G43" s="28"/>
      <c r="H43" s="26"/>
      <c r="I43" s="27"/>
      <c r="J43" s="26"/>
      <c r="K43" s="28"/>
      <c r="L43" s="28"/>
      <c r="M43" s="26"/>
      <c r="N43" s="27"/>
      <c r="O43" s="26"/>
      <c r="P43" s="28"/>
      <c r="Q43" s="28"/>
      <c r="R43" s="26"/>
    </row>
    <row r="44" spans="1:18" x14ac:dyDescent="0.2">
      <c r="A44" s="26"/>
      <c r="B44" s="26"/>
      <c r="C44" s="26"/>
      <c r="D44" s="27"/>
      <c r="E44" s="26"/>
      <c r="F44" s="28"/>
      <c r="G44" s="28"/>
      <c r="H44" s="26"/>
      <c r="I44" s="27"/>
      <c r="J44" s="26"/>
      <c r="K44" s="28"/>
      <c r="L44" s="28"/>
      <c r="M44" s="26"/>
      <c r="N44" s="27"/>
      <c r="O44" s="26"/>
      <c r="P44" s="28"/>
      <c r="Q44" s="28"/>
      <c r="R44" s="26"/>
    </row>
    <row r="45" spans="1:18" x14ac:dyDescent="0.2">
      <c r="A45" s="26"/>
      <c r="B45" s="26"/>
      <c r="C45" s="26"/>
      <c r="D45" s="27"/>
      <c r="E45" s="26"/>
      <c r="F45" s="28"/>
      <c r="G45" s="28"/>
      <c r="H45" s="26"/>
      <c r="I45" s="27"/>
      <c r="J45" s="26"/>
      <c r="K45" s="28"/>
      <c r="L45" s="28"/>
      <c r="M45" s="26"/>
      <c r="N45" s="27"/>
      <c r="O45" s="26"/>
      <c r="P45" s="28"/>
      <c r="Q45" s="28"/>
      <c r="R45" s="26"/>
    </row>
    <row r="46" spans="1:18" x14ac:dyDescent="0.2">
      <c r="A46" s="26"/>
      <c r="B46" s="26"/>
      <c r="C46" s="26"/>
      <c r="D46" s="27"/>
      <c r="E46" s="26"/>
      <c r="F46" s="28"/>
      <c r="G46" s="28"/>
      <c r="H46" s="26"/>
      <c r="I46" s="27"/>
      <c r="J46" s="26"/>
      <c r="K46" s="28"/>
      <c r="L46" s="28"/>
      <c r="M46" s="26"/>
      <c r="N46" s="27"/>
      <c r="O46" s="26"/>
      <c r="P46" s="28"/>
      <c r="Q46" s="28"/>
      <c r="R46" s="26"/>
    </row>
    <row r="47" spans="1:18" x14ac:dyDescent="0.2">
      <c r="A47" s="26"/>
      <c r="B47" s="26"/>
      <c r="C47" s="26"/>
      <c r="D47" s="27"/>
      <c r="E47" s="26"/>
      <c r="F47" s="28"/>
      <c r="G47" s="28"/>
      <c r="H47" s="26"/>
      <c r="I47" s="27"/>
      <c r="J47" s="26"/>
      <c r="K47" s="28"/>
      <c r="L47" s="28"/>
      <c r="M47" s="26"/>
      <c r="N47" s="27"/>
      <c r="O47" s="26"/>
      <c r="P47" s="28"/>
      <c r="Q47" s="28"/>
      <c r="R47" s="26"/>
    </row>
    <row r="48" spans="1:18" x14ac:dyDescent="0.2">
      <c r="A48" s="26"/>
      <c r="B48" s="26"/>
      <c r="C48" s="26"/>
      <c r="D48" s="27"/>
      <c r="E48" s="26"/>
      <c r="F48" s="28"/>
      <c r="G48" s="28"/>
      <c r="H48" s="26"/>
      <c r="I48" s="27"/>
      <c r="J48" s="26"/>
      <c r="K48" s="28"/>
      <c r="L48" s="28"/>
      <c r="M48" s="26"/>
      <c r="N48" s="27"/>
      <c r="O48" s="26"/>
      <c r="P48" s="28"/>
      <c r="Q48" s="28"/>
      <c r="R48" s="26"/>
    </row>
    <row r="49" spans="1:18" x14ac:dyDescent="0.2">
      <c r="A49" s="26"/>
      <c r="B49" s="26"/>
      <c r="C49" s="26"/>
      <c r="D49" s="27"/>
      <c r="E49" s="26"/>
      <c r="F49" s="28"/>
      <c r="G49" s="28"/>
      <c r="H49" s="26"/>
      <c r="I49" s="27"/>
      <c r="J49" s="26"/>
      <c r="K49" s="28"/>
      <c r="L49" s="28"/>
      <c r="M49" s="26"/>
      <c r="N49" s="27"/>
      <c r="O49" s="26"/>
      <c r="P49" s="28"/>
      <c r="Q49" s="28"/>
      <c r="R49" s="26"/>
    </row>
    <row r="50" spans="1:18" x14ac:dyDescent="0.2">
      <c r="A50" s="26"/>
      <c r="B50" s="26"/>
      <c r="C50" s="26"/>
      <c r="D50" s="27"/>
      <c r="E50" s="26"/>
      <c r="F50" s="28"/>
      <c r="G50" s="28"/>
      <c r="H50" s="26"/>
      <c r="I50" s="27"/>
      <c r="J50" s="26"/>
      <c r="K50" s="28"/>
      <c r="L50" s="28"/>
      <c r="M50" s="26"/>
      <c r="N50" s="27"/>
      <c r="O50" s="26"/>
      <c r="P50" s="28"/>
      <c r="Q50" s="28"/>
      <c r="R50" s="26"/>
    </row>
    <row r="51" spans="1:18" x14ac:dyDescent="0.2">
      <c r="A51" s="26"/>
      <c r="B51" s="26"/>
      <c r="C51" s="26"/>
      <c r="D51" s="27"/>
      <c r="E51" s="26"/>
      <c r="F51" s="28"/>
      <c r="G51" s="28"/>
      <c r="H51" s="26"/>
      <c r="I51" s="27"/>
      <c r="J51" s="26"/>
      <c r="K51" s="28"/>
      <c r="L51" s="28"/>
      <c r="M51" s="26"/>
      <c r="N51" s="27"/>
      <c r="O51" s="26"/>
      <c r="P51" s="28"/>
      <c r="Q51" s="28"/>
      <c r="R51" s="26"/>
    </row>
    <row r="52" spans="1:18" x14ac:dyDescent="0.2">
      <c r="A52" s="26"/>
      <c r="B52" s="26"/>
      <c r="C52" s="26"/>
      <c r="D52" s="27"/>
      <c r="E52" s="26"/>
      <c r="F52" s="28"/>
      <c r="G52" s="28"/>
      <c r="H52" s="26"/>
      <c r="I52" s="27"/>
      <c r="J52" s="26"/>
      <c r="K52" s="28"/>
      <c r="L52" s="28"/>
      <c r="M52" s="26"/>
      <c r="N52" s="27"/>
      <c r="O52" s="26"/>
      <c r="P52" s="28"/>
      <c r="Q52" s="28"/>
      <c r="R52" s="26"/>
    </row>
    <row r="53" spans="1:18" x14ac:dyDescent="0.2">
      <c r="A53" s="26"/>
      <c r="B53" s="26"/>
      <c r="C53" s="26"/>
      <c r="D53" s="27"/>
      <c r="E53" s="26"/>
      <c r="F53" s="28"/>
      <c r="G53" s="28"/>
      <c r="H53" s="26"/>
      <c r="I53" s="27"/>
      <c r="J53" s="26"/>
      <c r="K53" s="28"/>
      <c r="L53" s="28"/>
      <c r="M53" s="26"/>
      <c r="N53" s="27"/>
      <c r="O53" s="26"/>
      <c r="P53" s="28"/>
      <c r="Q53" s="28"/>
      <c r="R53" s="26"/>
    </row>
    <row r="54" spans="1:18" x14ac:dyDescent="0.2">
      <c r="A54" s="26"/>
      <c r="B54" s="26"/>
      <c r="C54" s="26"/>
      <c r="D54" s="27"/>
      <c r="E54" s="26"/>
      <c r="F54" s="28"/>
      <c r="G54" s="28"/>
      <c r="H54" s="26"/>
      <c r="I54" s="27"/>
      <c r="J54" s="26"/>
      <c r="K54" s="28"/>
      <c r="L54" s="28"/>
      <c r="M54" s="26"/>
      <c r="N54" s="27"/>
      <c r="O54" s="26"/>
      <c r="P54" s="28"/>
      <c r="Q54" s="28"/>
      <c r="R54" s="26"/>
    </row>
    <row r="55" spans="1:18" x14ac:dyDescent="0.2">
      <c r="A55" s="26"/>
      <c r="B55" s="26"/>
      <c r="C55" s="26"/>
      <c r="D55" s="27"/>
      <c r="E55" s="26"/>
      <c r="F55" s="28"/>
      <c r="G55" s="28"/>
      <c r="H55" s="26"/>
      <c r="I55" s="27"/>
      <c r="J55" s="26"/>
      <c r="K55" s="28"/>
      <c r="L55" s="28"/>
      <c r="M55" s="26"/>
      <c r="N55" s="27"/>
      <c r="O55" s="26"/>
      <c r="P55" s="28"/>
      <c r="Q55" s="28"/>
      <c r="R55" s="26"/>
    </row>
    <row r="56" spans="1:18" x14ac:dyDescent="0.2">
      <c r="A56" s="26"/>
      <c r="B56" s="26"/>
      <c r="C56" s="26"/>
      <c r="D56" s="27"/>
      <c r="E56" s="26"/>
      <c r="F56" s="28"/>
      <c r="G56" s="28"/>
      <c r="H56" s="26"/>
      <c r="I56" s="27"/>
      <c r="J56" s="26"/>
      <c r="K56" s="28"/>
      <c r="L56" s="28"/>
      <c r="M56" s="26"/>
      <c r="N56" s="27"/>
      <c r="O56" s="26"/>
      <c r="P56" s="28"/>
      <c r="Q56" s="28"/>
      <c r="R56" s="26"/>
    </row>
    <row r="57" spans="1:18" x14ac:dyDescent="0.2">
      <c r="A57" s="26"/>
      <c r="B57" s="26"/>
      <c r="C57" s="26"/>
      <c r="D57" s="27"/>
      <c r="E57" s="26"/>
      <c r="F57" s="28"/>
      <c r="G57" s="28"/>
      <c r="H57" s="26"/>
      <c r="I57" s="27"/>
      <c r="J57" s="26"/>
      <c r="K57" s="28"/>
      <c r="L57" s="28"/>
      <c r="M57" s="26"/>
      <c r="N57" s="27"/>
      <c r="O57" s="26"/>
      <c r="P57" s="28"/>
      <c r="Q57" s="28"/>
      <c r="R57" s="26"/>
    </row>
    <row r="58" spans="1:18" x14ac:dyDescent="0.2">
      <c r="A58" s="26"/>
      <c r="B58" s="26"/>
      <c r="C58" s="26"/>
      <c r="D58" s="27"/>
      <c r="E58" s="26"/>
      <c r="F58" s="28"/>
      <c r="G58" s="28"/>
      <c r="H58" s="26"/>
      <c r="I58" s="27"/>
      <c r="J58" s="26"/>
      <c r="K58" s="28"/>
      <c r="L58" s="28"/>
      <c r="M58" s="26"/>
      <c r="N58" s="27"/>
      <c r="O58" s="26"/>
      <c r="P58" s="28"/>
      <c r="Q58" s="28"/>
      <c r="R58" s="26"/>
    </row>
    <row r="59" spans="1:18" x14ac:dyDescent="0.2">
      <c r="A59" s="26"/>
      <c r="B59" s="26"/>
      <c r="C59" s="26"/>
      <c r="D59" s="27"/>
      <c r="E59" s="26"/>
      <c r="F59" s="28"/>
      <c r="G59" s="28"/>
      <c r="H59" s="26"/>
      <c r="I59" s="27"/>
      <c r="J59" s="26"/>
      <c r="K59" s="28"/>
      <c r="L59" s="28"/>
      <c r="M59" s="26"/>
      <c r="N59" s="27"/>
      <c r="O59" s="26"/>
      <c r="P59" s="28"/>
      <c r="Q59" s="28"/>
      <c r="R59" s="26"/>
    </row>
    <row r="60" spans="1:18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</row>
    <row r="61" spans="1:18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</row>
    <row r="62" spans="1:18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</row>
    <row r="63" spans="1:18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</row>
  </sheetData>
  <mergeCells count="5">
    <mergeCell ref="A2:A3"/>
    <mergeCell ref="D14:D15"/>
    <mergeCell ref="E14:E15"/>
    <mergeCell ref="I14:I15"/>
    <mergeCell ref="N14:N1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5C24B-F71C-46E2-98D8-8129E202A9E1}">
  <sheetPr codeName="Sheet13">
    <tabColor theme="9" tint="0.59999389629810485"/>
  </sheetPr>
  <dimension ref="A1:R63"/>
  <sheetViews>
    <sheetView workbookViewId="0"/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hidden="1" customWidth="1"/>
    <col min="8" max="8" width="1.6640625" customWidth="1"/>
    <col min="9" max="9" width="13.6640625" customWidth="1"/>
    <col min="10" max="10" width="54.6640625" customWidth="1"/>
    <col min="12" max="12" width="11" hidden="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hidden="1" customWidth="1"/>
  </cols>
  <sheetData>
    <row r="1" spans="1:1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18" x14ac:dyDescent="0.2">
      <c r="A2" s="247" t="s">
        <v>153</v>
      </c>
      <c r="B2" s="99"/>
      <c r="C2" s="26"/>
      <c r="D2" s="26"/>
      <c r="E2" s="69" t="s">
        <v>117</v>
      </c>
      <c r="F2" s="70" t="s">
        <v>90</v>
      </c>
      <c r="G2" s="70" t="s">
        <v>90</v>
      </c>
      <c r="H2" s="26"/>
      <c r="I2" s="26"/>
      <c r="J2" s="69" t="s">
        <v>121</v>
      </c>
      <c r="K2" s="70" t="s">
        <v>90</v>
      </c>
      <c r="L2" s="26"/>
      <c r="M2" s="26"/>
      <c r="N2" s="26"/>
      <c r="O2" s="26"/>
      <c r="P2" s="26"/>
      <c r="Q2" s="26"/>
      <c r="R2" s="26"/>
    </row>
    <row r="3" spans="1:18" x14ac:dyDescent="0.2">
      <c r="A3" s="248"/>
      <c r="B3" s="110">
        <f>Main!F7</f>
        <v>1</v>
      </c>
      <c r="C3" s="26"/>
      <c r="D3" s="26"/>
      <c r="E3" s="66" t="s">
        <v>82</v>
      </c>
      <c r="F3" s="67">
        <f>F16/24</f>
        <v>7</v>
      </c>
      <c r="G3" s="67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2">
      <c r="A4" s="26"/>
      <c r="B4" s="106" t="s">
        <v>223</v>
      </c>
      <c r="C4" s="109" t="s">
        <v>222</v>
      </c>
      <c r="D4" s="60"/>
      <c r="E4" s="26" t="s">
        <v>89</v>
      </c>
      <c r="F4" s="64">
        <f>SUM(F17:F21)/24</f>
        <v>4</v>
      </c>
      <c r="G4" s="64">
        <f>SUM(G17:G21)/24</f>
        <v>0.27663860611111113</v>
      </c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2">
      <c r="A5" s="103" t="s">
        <v>192</v>
      </c>
      <c r="B5" s="107">
        <f>F3+F4+F5+(F7+F8)*(IF(B2&lt;&gt;"",B2,B3)-1)</f>
        <v>20</v>
      </c>
      <c r="C5" s="111">
        <f>F3+F4+F5+(F7+F8)*(IF(B2&lt;&gt;"",B2,B3)-1)</f>
        <v>20</v>
      </c>
      <c r="D5" s="105" t="s">
        <v>38</v>
      </c>
      <c r="E5" s="32" t="s">
        <v>118</v>
      </c>
      <c r="F5" s="68">
        <f>SUM(F23:F51)/24</f>
        <v>9</v>
      </c>
      <c r="G5" s="68">
        <f>SUM(G23:G51)/24</f>
        <v>0.27208188388888899</v>
      </c>
      <c r="H5" s="26"/>
      <c r="I5" s="26"/>
      <c r="J5" s="71" t="s">
        <v>116</v>
      </c>
      <c r="K5" s="72">
        <f>K12/24</f>
        <v>7.583333333333333</v>
      </c>
      <c r="L5" s="72">
        <f>L12/24</f>
        <v>-9.1134444444444448E-3</v>
      </c>
      <c r="M5" s="26"/>
      <c r="N5" s="26"/>
      <c r="O5" s="26"/>
      <c r="P5" s="26"/>
      <c r="Q5" s="26"/>
      <c r="R5" s="26"/>
    </row>
    <row r="6" spans="1:18" x14ac:dyDescent="0.2">
      <c r="A6" s="31" t="s">
        <v>193</v>
      </c>
      <c r="B6" s="108">
        <v>0</v>
      </c>
      <c r="C6" s="112">
        <v>0</v>
      </c>
      <c r="D6" s="33" t="s">
        <v>38</v>
      </c>
      <c r="E6" s="100" t="s">
        <v>120</v>
      </c>
      <c r="F6" s="70" t="s">
        <v>90</v>
      </c>
      <c r="G6" s="70" t="s">
        <v>90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2">
      <c r="A7" s="26"/>
      <c r="B7" s="26"/>
      <c r="C7" s="26"/>
      <c r="D7" s="26"/>
      <c r="E7" s="30" t="s">
        <v>89</v>
      </c>
      <c r="F7" s="64">
        <f>F4</f>
        <v>4</v>
      </c>
      <c r="G7" s="64">
        <f>G4</f>
        <v>0.27663860611111113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2">
      <c r="A8" s="26"/>
      <c r="B8" s="26"/>
      <c r="C8" s="26"/>
      <c r="D8" s="26"/>
      <c r="E8" s="31" t="s">
        <v>119</v>
      </c>
      <c r="F8" s="68">
        <f>SUM(F23:F53)/24</f>
        <v>9.75</v>
      </c>
      <c r="G8" s="68">
        <f>SUM(G23:G53)/24</f>
        <v>0.27208188388888899</v>
      </c>
      <c r="H8" s="26"/>
      <c r="I8" s="26"/>
      <c r="J8" s="71" t="s">
        <v>116</v>
      </c>
      <c r="K8" s="72">
        <f>K5</f>
        <v>7.583333333333333</v>
      </c>
      <c r="L8" s="72">
        <f>L5</f>
        <v>-9.1134444444444448E-3</v>
      </c>
      <c r="M8" s="26"/>
      <c r="N8" s="26"/>
      <c r="O8" s="26"/>
      <c r="P8" s="26"/>
      <c r="Q8" s="26"/>
      <c r="R8" s="26"/>
    </row>
    <row r="9" spans="1:18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1:18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18" x14ac:dyDescent="0.2">
      <c r="A11" s="26"/>
      <c r="B11" s="26"/>
      <c r="C11" s="26"/>
      <c r="D11" s="42"/>
      <c r="E11" s="43" t="s">
        <v>154</v>
      </c>
      <c r="F11" s="76"/>
      <c r="G11" s="44"/>
      <c r="H11" s="136"/>
      <c r="I11" s="42"/>
      <c r="J11" s="43" t="s">
        <v>155</v>
      </c>
      <c r="K11" s="76"/>
      <c r="L11" s="44"/>
      <c r="M11" s="136"/>
      <c r="N11" s="42"/>
      <c r="O11" s="43"/>
      <c r="P11" s="76"/>
      <c r="Q11" s="44"/>
      <c r="R11" s="30"/>
    </row>
    <row r="12" spans="1:18" x14ac:dyDescent="0.2">
      <c r="A12" s="26"/>
      <c r="B12" s="26"/>
      <c r="C12" s="26"/>
      <c r="D12" s="35" t="s">
        <v>112</v>
      </c>
      <c r="E12" s="36"/>
      <c r="F12" s="77">
        <f>SUM(F16:F59)</f>
        <v>498</v>
      </c>
      <c r="G12" s="94">
        <f>SUM(G16:G59)</f>
        <v>13.169291759999995</v>
      </c>
      <c r="H12" s="136"/>
      <c r="I12" s="35" t="s">
        <v>112</v>
      </c>
      <c r="J12" s="36"/>
      <c r="K12" s="77">
        <f>SUM(K16:K59)</f>
        <v>182</v>
      </c>
      <c r="L12" s="94">
        <f>SUM(L16:L59)</f>
        <v>-0.21872266666666668</v>
      </c>
      <c r="M12" s="136"/>
      <c r="N12" s="35"/>
      <c r="O12" s="36"/>
      <c r="P12" s="77">
        <f>SUM(P16:P59)</f>
        <v>0</v>
      </c>
      <c r="Q12" s="94">
        <f>SUM(Q16:Q59)</f>
        <v>0</v>
      </c>
      <c r="R12" s="30"/>
    </row>
    <row r="13" spans="1:18" x14ac:dyDescent="0.2">
      <c r="A13" s="26"/>
      <c r="B13" s="26"/>
      <c r="C13" s="26"/>
      <c r="D13" s="253"/>
      <c r="E13" s="254"/>
      <c r="F13" s="254"/>
      <c r="G13" s="255"/>
      <c r="H13" s="136"/>
      <c r="I13" s="253"/>
      <c r="J13" s="254"/>
      <c r="K13" s="254"/>
      <c r="L13" s="255"/>
      <c r="M13" s="136"/>
      <c r="N13" s="253"/>
      <c r="O13" s="254"/>
      <c r="P13" s="254"/>
      <c r="Q13" s="255"/>
      <c r="R13" s="30"/>
    </row>
    <row r="14" spans="1:18" x14ac:dyDescent="0.2">
      <c r="A14" s="26"/>
      <c r="B14" s="26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49" t="s">
        <v>83</v>
      </c>
      <c r="J14" s="251" t="s">
        <v>16</v>
      </c>
      <c r="K14" s="39" t="s">
        <v>17</v>
      </c>
      <c r="L14" s="39" t="s">
        <v>215</v>
      </c>
      <c r="M14" s="26"/>
      <c r="N14" s="249" t="s">
        <v>83</v>
      </c>
      <c r="O14" s="251"/>
      <c r="P14" s="39"/>
      <c r="Q14" s="39" t="s">
        <v>215</v>
      </c>
      <c r="R14" s="26"/>
    </row>
    <row r="15" spans="1:18" x14ac:dyDescent="0.2">
      <c r="A15" s="26"/>
      <c r="B15" s="26"/>
      <c r="C15" s="26"/>
      <c r="D15" s="250"/>
      <c r="E15" s="252"/>
      <c r="F15" s="41" t="s">
        <v>18</v>
      </c>
      <c r="G15" s="41" t="s">
        <v>18</v>
      </c>
      <c r="H15" s="26"/>
      <c r="I15" s="250"/>
      <c r="J15" s="252"/>
      <c r="K15" s="41" t="s">
        <v>18</v>
      </c>
      <c r="L15" s="41" t="s">
        <v>18</v>
      </c>
      <c r="M15" s="26"/>
      <c r="N15" s="250"/>
      <c r="O15" s="252"/>
      <c r="P15" s="41"/>
      <c r="Q15" s="41" t="s">
        <v>18</v>
      </c>
      <c r="R15" s="26"/>
    </row>
    <row r="16" spans="1:18" x14ac:dyDescent="0.2">
      <c r="A16" s="26"/>
      <c r="B16" s="26"/>
      <c r="C16" s="26"/>
      <c r="D16" s="27">
        <v>1</v>
      </c>
      <c r="E16" s="26" t="s">
        <v>82</v>
      </c>
      <c r="F16" s="28">
        <f>7*24</f>
        <v>168</v>
      </c>
      <c r="G16" s="64"/>
      <c r="H16" s="26"/>
      <c r="I16" s="27"/>
      <c r="J16" s="26"/>
      <c r="K16" s="28"/>
      <c r="L16" s="64"/>
      <c r="M16" s="26"/>
      <c r="N16" s="27"/>
      <c r="O16" s="26"/>
      <c r="P16" s="28"/>
      <c r="Q16" s="64"/>
      <c r="R16" s="26"/>
    </row>
    <row r="17" spans="1:18" x14ac:dyDescent="0.2">
      <c r="A17" s="26"/>
      <c r="B17" s="26"/>
      <c r="C17" s="26"/>
      <c r="D17" s="27">
        <v>2</v>
      </c>
      <c r="E17" s="26" t="s">
        <v>275</v>
      </c>
      <c r="F17" s="28">
        <v>28</v>
      </c>
      <c r="G17" s="64">
        <f>'Unit Cell Details'!$F$46*6</f>
        <v>3.3743439400000002</v>
      </c>
      <c r="H17" s="26"/>
      <c r="I17" s="27"/>
      <c r="J17" s="26"/>
      <c r="K17" s="28"/>
      <c r="L17" s="64"/>
      <c r="M17" s="26"/>
      <c r="N17" s="27"/>
      <c r="O17" s="26"/>
      <c r="P17" s="28"/>
      <c r="Q17" s="64"/>
      <c r="R17" s="26"/>
    </row>
    <row r="18" spans="1:18" x14ac:dyDescent="0.2">
      <c r="A18" s="26"/>
      <c r="B18" s="26"/>
      <c r="C18" s="26"/>
      <c r="D18" s="27">
        <v>3</v>
      </c>
      <c r="E18" s="26" t="s">
        <v>276</v>
      </c>
      <c r="F18" s="28">
        <v>28</v>
      </c>
      <c r="G18" s="64">
        <f>'Unit Cell Details'!$F$46*6</f>
        <v>3.3743439400000002</v>
      </c>
      <c r="H18" s="26"/>
      <c r="I18" s="27"/>
      <c r="J18" s="26"/>
      <c r="K18" s="28"/>
      <c r="L18" s="64"/>
      <c r="M18" s="26"/>
      <c r="N18" s="27"/>
      <c r="O18" s="26"/>
      <c r="P18" s="28"/>
      <c r="Q18" s="64"/>
      <c r="R18" s="26"/>
    </row>
    <row r="19" spans="1:18" x14ac:dyDescent="0.2">
      <c r="A19" s="26"/>
      <c r="B19" s="26"/>
      <c r="C19" s="26"/>
      <c r="D19" s="27">
        <v>4</v>
      </c>
      <c r="E19" s="26" t="s">
        <v>277</v>
      </c>
      <c r="F19" s="28">
        <v>28</v>
      </c>
      <c r="G19" s="64">
        <f>'Unit Cell Details'!$F$49*12</f>
        <v>-0.10936133333333334</v>
      </c>
      <c r="H19" s="26"/>
      <c r="I19" s="27"/>
      <c r="J19" s="26"/>
      <c r="K19" s="28"/>
      <c r="L19" s="64"/>
      <c r="M19" s="26"/>
      <c r="N19" s="27"/>
      <c r="O19" s="26"/>
      <c r="P19" s="28"/>
      <c r="Q19" s="64"/>
      <c r="R19" s="26"/>
    </row>
    <row r="20" spans="1:18" x14ac:dyDescent="0.2">
      <c r="A20" s="26"/>
      <c r="B20" s="26"/>
      <c r="C20" s="26"/>
      <c r="D20" s="27">
        <v>5</v>
      </c>
      <c r="E20" s="26" t="s">
        <v>278</v>
      </c>
      <c r="F20" s="28">
        <v>6</v>
      </c>
      <c r="G20" s="64"/>
      <c r="H20" s="26"/>
      <c r="I20" s="27"/>
      <c r="J20" s="26"/>
      <c r="K20" s="28"/>
      <c r="L20" s="64"/>
      <c r="M20" s="26"/>
      <c r="N20" s="27"/>
      <c r="O20" s="26"/>
      <c r="P20" s="28"/>
      <c r="Q20" s="64"/>
      <c r="R20" s="26"/>
    </row>
    <row r="21" spans="1:18" x14ac:dyDescent="0.2">
      <c r="A21" s="26"/>
      <c r="B21" s="26"/>
      <c r="C21" s="26"/>
      <c r="D21" s="27">
        <v>6</v>
      </c>
      <c r="E21" s="26" t="s">
        <v>86</v>
      </c>
      <c r="F21" s="28">
        <v>6</v>
      </c>
      <c r="G21" s="64"/>
      <c r="H21" s="26"/>
      <c r="I21" s="27">
        <v>1</v>
      </c>
      <c r="J21" s="26" t="s">
        <v>87</v>
      </c>
      <c r="K21" s="28">
        <v>10</v>
      </c>
      <c r="L21" s="64"/>
      <c r="M21" s="26"/>
      <c r="N21" s="27"/>
      <c r="O21" s="26"/>
      <c r="P21" s="28"/>
      <c r="Q21" s="64"/>
      <c r="R21" s="26"/>
    </row>
    <row r="22" spans="1:18" x14ac:dyDescent="0.2">
      <c r="A22" s="26"/>
      <c r="B22" s="26"/>
      <c r="C22" s="26"/>
      <c r="D22" s="27"/>
      <c r="E22" s="26"/>
      <c r="F22" s="28"/>
      <c r="G22" s="64"/>
      <c r="H22" s="26"/>
      <c r="I22" s="27">
        <v>2</v>
      </c>
      <c r="J22" s="26" t="s">
        <v>88</v>
      </c>
      <c r="K22" s="28">
        <v>8</v>
      </c>
      <c r="L22" s="64"/>
      <c r="M22" s="26"/>
      <c r="N22" s="27"/>
      <c r="O22" s="26"/>
      <c r="P22" s="28"/>
      <c r="Q22" s="64"/>
      <c r="R22" s="26"/>
    </row>
    <row r="23" spans="1:18" x14ac:dyDescent="0.2">
      <c r="A23" s="26"/>
      <c r="B23" s="26"/>
      <c r="C23" s="26"/>
      <c r="D23" s="27">
        <v>7</v>
      </c>
      <c r="E23" s="26" t="s">
        <v>91</v>
      </c>
      <c r="F23" s="28">
        <v>18</v>
      </c>
      <c r="G23" s="64"/>
      <c r="H23" s="26"/>
      <c r="I23" s="27"/>
      <c r="J23" s="26"/>
      <c r="K23" s="28"/>
      <c r="L23" s="64"/>
      <c r="M23" s="26"/>
      <c r="N23" s="27"/>
      <c r="O23" s="26"/>
      <c r="P23" s="28"/>
      <c r="Q23" s="64"/>
      <c r="R23" s="26"/>
    </row>
    <row r="24" spans="1:18" x14ac:dyDescent="0.2">
      <c r="A24" s="26"/>
      <c r="B24" s="26"/>
      <c r="C24" s="26"/>
      <c r="D24" s="27">
        <v>8</v>
      </c>
      <c r="E24" s="26" t="s">
        <v>92</v>
      </c>
      <c r="F24" s="28">
        <v>8</v>
      </c>
      <c r="G24" s="64"/>
      <c r="H24" s="26"/>
      <c r="I24" s="27">
        <v>3</v>
      </c>
      <c r="J24" s="26" t="s">
        <v>95</v>
      </c>
      <c r="K24" s="28">
        <v>18</v>
      </c>
      <c r="L24" s="64"/>
      <c r="M24" s="26"/>
      <c r="N24" s="27"/>
      <c r="O24" s="26"/>
      <c r="P24" s="28"/>
      <c r="Q24" s="64"/>
      <c r="R24" s="26"/>
    </row>
    <row r="25" spans="1:18" x14ac:dyDescent="0.2">
      <c r="A25" s="26"/>
      <c r="B25" s="26"/>
      <c r="C25" s="26"/>
      <c r="D25" s="27">
        <v>9</v>
      </c>
      <c r="E25" s="26" t="s">
        <v>93</v>
      </c>
      <c r="F25" s="28">
        <v>8</v>
      </c>
      <c r="G25" s="64"/>
      <c r="H25" s="26"/>
      <c r="I25" s="27"/>
      <c r="J25" s="26"/>
      <c r="K25" s="28"/>
      <c r="L25" s="64"/>
      <c r="M25" s="26"/>
      <c r="N25" s="27"/>
      <c r="O25" s="26"/>
      <c r="P25" s="28"/>
      <c r="Q25" s="64"/>
      <c r="R25" s="26"/>
    </row>
    <row r="26" spans="1:18" x14ac:dyDescent="0.2">
      <c r="A26" s="26"/>
      <c r="B26" s="26"/>
      <c r="C26" s="26"/>
      <c r="D26" s="27">
        <v>10</v>
      </c>
      <c r="E26" s="26" t="s">
        <v>94</v>
      </c>
      <c r="F26" s="28">
        <v>8</v>
      </c>
      <c r="G26" s="64"/>
      <c r="H26" s="26"/>
      <c r="I26" s="27">
        <v>4</v>
      </c>
      <c r="J26" s="26" t="s">
        <v>98</v>
      </c>
      <c r="K26" s="28">
        <v>8</v>
      </c>
      <c r="L26" s="64"/>
      <c r="M26" s="26"/>
      <c r="N26" s="27"/>
      <c r="O26" s="26"/>
      <c r="P26" s="28"/>
      <c r="Q26" s="64"/>
      <c r="R26" s="26"/>
    </row>
    <row r="27" spans="1:18" x14ac:dyDescent="0.2">
      <c r="A27" s="26"/>
      <c r="B27" s="26"/>
      <c r="C27" s="26"/>
      <c r="D27" s="27">
        <v>11</v>
      </c>
      <c r="E27" s="26" t="s">
        <v>94</v>
      </c>
      <c r="F27" s="28">
        <v>8</v>
      </c>
      <c r="G27" s="64"/>
      <c r="H27" s="26"/>
      <c r="I27" s="27">
        <v>5</v>
      </c>
      <c r="J27" s="26" t="s">
        <v>98</v>
      </c>
      <c r="K27" s="28">
        <v>8</v>
      </c>
      <c r="L27" s="64"/>
      <c r="M27" s="26"/>
      <c r="N27" s="27"/>
      <c r="O27" s="26"/>
      <c r="P27" s="28"/>
      <c r="Q27" s="64"/>
      <c r="R27" s="26"/>
    </row>
    <row r="28" spans="1:18" x14ac:dyDescent="0.2">
      <c r="A28" s="26"/>
      <c r="B28" s="26"/>
      <c r="C28" s="26"/>
      <c r="D28" s="27">
        <v>12</v>
      </c>
      <c r="E28" s="26" t="s">
        <v>94</v>
      </c>
      <c r="F28" s="28">
        <v>8</v>
      </c>
      <c r="G28" s="64"/>
      <c r="H28" s="26"/>
      <c r="I28" s="27">
        <v>6</v>
      </c>
      <c r="J28" s="26" t="s">
        <v>98</v>
      </c>
      <c r="K28" s="28">
        <v>8</v>
      </c>
      <c r="L28" s="64"/>
      <c r="M28" s="26"/>
      <c r="N28" s="27"/>
      <c r="O28" s="26"/>
      <c r="P28" s="28"/>
      <c r="Q28" s="64"/>
      <c r="R28" s="26"/>
    </row>
    <row r="29" spans="1:18" x14ac:dyDescent="0.2">
      <c r="A29" s="26"/>
      <c r="B29" s="26"/>
      <c r="C29" s="26"/>
      <c r="D29" s="27">
        <v>13</v>
      </c>
      <c r="E29" s="26" t="s">
        <v>94</v>
      </c>
      <c r="F29" s="28">
        <v>8</v>
      </c>
      <c r="G29" s="64"/>
      <c r="H29" s="26"/>
      <c r="I29" s="27">
        <v>7</v>
      </c>
      <c r="J29" s="26" t="s">
        <v>98</v>
      </c>
      <c r="K29" s="28">
        <v>8</v>
      </c>
      <c r="L29" s="64"/>
      <c r="M29" s="26"/>
      <c r="N29" s="27"/>
      <c r="O29" s="26"/>
      <c r="P29" s="28"/>
      <c r="Q29" s="64"/>
      <c r="R29" s="26"/>
    </row>
    <row r="30" spans="1:18" x14ac:dyDescent="0.2">
      <c r="A30" s="26"/>
      <c r="B30" s="26"/>
      <c r="C30" s="26"/>
      <c r="D30" s="27">
        <v>14</v>
      </c>
      <c r="E30" s="26" t="s">
        <v>94</v>
      </c>
      <c r="F30" s="28">
        <v>8</v>
      </c>
      <c r="G30" s="64"/>
      <c r="H30" s="26"/>
      <c r="I30" s="27">
        <v>8</v>
      </c>
      <c r="J30" s="26" t="s">
        <v>96</v>
      </c>
      <c r="K30" s="28">
        <v>18</v>
      </c>
      <c r="L30" s="64"/>
      <c r="M30" s="26"/>
      <c r="N30" s="27"/>
      <c r="O30" s="26"/>
      <c r="P30" s="28"/>
      <c r="Q30" s="64"/>
      <c r="R30" s="26"/>
    </row>
    <row r="31" spans="1:18" x14ac:dyDescent="0.2">
      <c r="A31" s="26"/>
      <c r="B31" s="26"/>
      <c r="C31" s="26"/>
      <c r="D31" s="27"/>
      <c r="E31" s="26"/>
      <c r="F31" s="28"/>
      <c r="G31" s="64"/>
      <c r="H31" s="26"/>
      <c r="I31" s="27">
        <v>9</v>
      </c>
      <c r="J31" s="26" t="s">
        <v>87</v>
      </c>
      <c r="K31" s="28">
        <v>10</v>
      </c>
      <c r="L31" s="64"/>
      <c r="M31" s="26"/>
      <c r="N31" s="27"/>
      <c r="O31" s="26"/>
      <c r="P31" s="28"/>
      <c r="Q31" s="64"/>
      <c r="R31" s="26"/>
    </row>
    <row r="32" spans="1:18" x14ac:dyDescent="0.2">
      <c r="A32" s="26"/>
      <c r="B32" s="26"/>
      <c r="C32" s="26"/>
      <c r="D32" s="27">
        <v>15</v>
      </c>
      <c r="E32" s="26" t="s">
        <v>99</v>
      </c>
      <c r="F32" s="28">
        <v>8</v>
      </c>
      <c r="G32" s="64">
        <f>'Unit Cell Details'!$F$46+'Unit Cell Details'!$F$49</f>
        <v>0.55327721222222226</v>
      </c>
      <c r="H32" s="26"/>
      <c r="I32" s="27">
        <v>10</v>
      </c>
      <c r="J32" s="26" t="s">
        <v>97</v>
      </c>
      <c r="K32" s="28">
        <v>4</v>
      </c>
      <c r="L32" s="64">
        <f>'Unit Cell Details'!$F$49*12</f>
        <v>-0.10936133333333334</v>
      </c>
      <c r="M32" s="26"/>
      <c r="N32" s="27"/>
      <c r="O32" s="26"/>
      <c r="P32" s="28"/>
      <c r="Q32" s="64"/>
      <c r="R32" s="26"/>
    </row>
    <row r="33" spans="1:18" x14ac:dyDescent="0.2">
      <c r="A33" s="26"/>
      <c r="B33" s="26"/>
      <c r="C33" s="26"/>
      <c r="D33" s="27">
        <v>16</v>
      </c>
      <c r="E33" s="26" t="s">
        <v>100</v>
      </c>
      <c r="F33" s="28">
        <v>8</v>
      </c>
      <c r="G33" s="64">
        <f>'Unit Cell Details'!$F$46+'Unit Cell Details'!$F$49</f>
        <v>0.55327721222222226</v>
      </c>
      <c r="H33" s="26"/>
      <c r="I33" s="27">
        <v>11</v>
      </c>
      <c r="J33" s="26" t="s">
        <v>88</v>
      </c>
      <c r="K33" s="28">
        <v>8</v>
      </c>
      <c r="L33" s="64"/>
      <c r="M33" s="26"/>
      <c r="N33" s="27"/>
      <c r="O33" s="26"/>
      <c r="P33" s="28"/>
      <c r="Q33" s="64"/>
      <c r="R33" s="26"/>
    </row>
    <row r="34" spans="1:18" x14ac:dyDescent="0.2">
      <c r="A34" s="26"/>
      <c r="B34" s="26"/>
      <c r="C34" s="26"/>
      <c r="D34" s="27">
        <v>17</v>
      </c>
      <c r="E34" s="26" t="s">
        <v>101</v>
      </c>
      <c r="F34" s="28">
        <v>8</v>
      </c>
      <c r="G34" s="64">
        <f>'Unit Cell Details'!$F$46+'Unit Cell Details'!$F$49</f>
        <v>0.55327721222222226</v>
      </c>
      <c r="H34" s="26"/>
      <c r="I34" s="27">
        <v>12</v>
      </c>
      <c r="J34" s="26" t="s">
        <v>115</v>
      </c>
      <c r="K34" s="28">
        <v>18</v>
      </c>
      <c r="L34" s="64"/>
      <c r="M34" s="26"/>
      <c r="N34" s="27"/>
      <c r="O34" s="26"/>
      <c r="P34" s="28"/>
      <c r="Q34" s="64"/>
      <c r="R34" s="26"/>
    </row>
    <row r="35" spans="1:18" x14ac:dyDescent="0.2">
      <c r="A35" s="26"/>
      <c r="B35" s="26"/>
      <c r="C35" s="26"/>
      <c r="D35" s="27">
        <v>18</v>
      </c>
      <c r="E35" s="26" t="s">
        <v>102</v>
      </c>
      <c r="F35" s="28">
        <v>8</v>
      </c>
      <c r="G35" s="64">
        <f>'Unit Cell Details'!$F$46+'Unit Cell Details'!$F$49</f>
        <v>0.55327721222222226</v>
      </c>
      <c r="H35" s="26"/>
      <c r="I35" s="27"/>
      <c r="J35" s="26"/>
      <c r="K35" s="28"/>
      <c r="L35" s="64"/>
      <c r="M35" s="26"/>
      <c r="N35" s="27"/>
      <c r="O35" s="26"/>
      <c r="P35" s="28"/>
      <c r="Q35" s="64"/>
      <c r="R35" s="26"/>
    </row>
    <row r="36" spans="1:18" x14ac:dyDescent="0.2">
      <c r="A36" s="26"/>
      <c r="B36" s="26"/>
      <c r="C36" s="26"/>
      <c r="D36" s="27">
        <v>19</v>
      </c>
      <c r="E36" s="26" t="s">
        <v>103</v>
      </c>
      <c r="F36" s="28">
        <v>8</v>
      </c>
      <c r="G36" s="64">
        <f>'Unit Cell Details'!$F$46+'Unit Cell Details'!$F$49</f>
        <v>0.55327721222222226</v>
      </c>
      <c r="H36" s="26"/>
      <c r="I36" s="27"/>
      <c r="J36" s="26"/>
      <c r="K36" s="28"/>
      <c r="L36" s="64"/>
      <c r="M36" s="26"/>
      <c r="N36" s="27"/>
      <c r="O36" s="26"/>
      <c r="P36" s="28"/>
      <c r="Q36" s="64"/>
      <c r="R36" s="26"/>
    </row>
    <row r="37" spans="1:18" x14ac:dyDescent="0.2">
      <c r="A37" s="26"/>
      <c r="B37" s="26"/>
      <c r="C37" s="26"/>
      <c r="D37" s="27">
        <v>20</v>
      </c>
      <c r="E37" s="26" t="s">
        <v>104</v>
      </c>
      <c r="F37" s="28">
        <v>8</v>
      </c>
      <c r="G37" s="64">
        <f>'Unit Cell Details'!$F$46+'Unit Cell Details'!$F$49</f>
        <v>0.55327721222222226</v>
      </c>
      <c r="H37" s="26"/>
      <c r="I37" s="27"/>
      <c r="J37" s="26"/>
      <c r="K37" s="28"/>
      <c r="L37" s="64"/>
      <c r="M37" s="26"/>
      <c r="N37" s="27"/>
      <c r="O37" s="26"/>
      <c r="P37" s="28"/>
      <c r="Q37" s="64"/>
      <c r="R37" s="26"/>
    </row>
    <row r="38" spans="1:18" x14ac:dyDescent="0.2">
      <c r="A38" s="26"/>
      <c r="B38" s="26"/>
      <c r="C38" s="26"/>
      <c r="D38" s="27"/>
      <c r="E38" s="26"/>
      <c r="F38" s="28"/>
      <c r="G38" s="64"/>
      <c r="H38" s="26"/>
      <c r="I38" s="27"/>
      <c r="J38" s="26"/>
      <c r="K38" s="28"/>
      <c r="L38" s="64"/>
      <c r="M38" s="26"/>
      <c r="N38" s="27"/>
      <c r="O38" s="26"/>
      <c r="P38" s="28"/>
      <c r="Q38" s="64"/>
      <c r="R38" s="26"/>
    </row>
    <row r="39" spans="1:18" x14ac:dyDescent="0.2">
      <c r="A39" s="26"/>
      <c r="B39" s="26"/>
      <c r="C39" s="26"/>
      <c r="D39" s="27">
        <v>21</v>
      </c>
      <c r="E39" s="26" t="s">
        <v>105</v>
      </c>
      <c r="F39" s="28">
        <v>6</v>
      </c>
      <c r="G39" s="64">
        <f>'Unit Cell Details'!$F$49*12</f>
        <v>-0.10936133333333334</v>
      </c>
      <c r="H39" s="26"/>
      <c r="I39" s="27">
        <v>13</v>
      </c>
      <c r="J39" s="26" t="s">
        <v>279</v>
      </c>
      <c r="K39" s="28">
        <v>6</v>
      </c>
      <c r="L39" s="64">
        <f>'Unit Cell Details'!$F$49*12</f>
        <v>-0.10936133333333334</v>
      </c>
      <c r="M39" s="26"/>
      <c r="N39" s="27"/>
      <c r="O39" s="26"/>
      <c r="P39" s="28"/>
      <c r="Q39" s="64"/>
      <c r="R39" s="26"/>
    </row>
    <row r="40" spans="1:18" x14ac:dyDescent="0.2">
      <c r="A40" s="26"/>
      <c r="B40" s="26"/>
      <c r="C40" s="26"/>
      <c r="D40" s="27">
        <v>22</v>
      </c>
      <c r="E40" s="26" t="s">
        <v>94</v>
      </c>
      <c r="F40" s="28">
        <v>8</v>
      </c>
      <c r="G40" s="64"/>
      <c r="H40" s="26"/>
      <c r="I40" s="27">
        <v>14</v>
      </c>
      <c r="J40" s="26" t="s">
        <v>98</v>
      </c>
      <c r="K40" s="28">
        <v>8</v>
      </c>
      <c r="L40" s="64"/>
      <c r="M40" s="26"/>
      <c r="N40" s="27"/>
      <c r="O40" s="26"/>
      <c r="P40" s="28"/>
      <c r="Q40" s="64"/>
      <c r="R40" s="26"/>
    </row>
    <row r="41" spans="1:18" x14ac:dyDescent="0.2">
      <c r="A41" s="26"/>
      <c r="B41" s="26"/>
      <c r="C41" s="26"/>
      <c r="D41" s="27">
        <v>23</v>
      </c>
      <c r="E41" s="26" t="s">
        <v>94</v>
      </c>
      <c r="F41" s="28">
        <v>8</v>
      </c>
      <c r="G41" s="64"/>
      <c r="H41" s="26"/>
      <c r="I41" s="27">
        <v>15</v>
      </c>
      <c r="J41" s="26" t="s">
        <v>98</v>
      </c>
      <c r="K41" s="28">
        <v>8</v>
      </c>
      <c r="L41" s="64"/>
      <c r="M41" s="26"/>
      <c r="N41" s="27"/>
      <c r="O41" s="26"/>
      <c r="P41" s="28"/>
      <c r="Q41" s="64"/>
      <c r="R41" s="26"/>
    </row>
    <row r="42" spans="1:18" x14ac:dyDescent="0.2">
      <c r="A42" s="26"/>
      <c r="B42" s="26"/>
      <c r="C42" s="26"/>
      <c r="D42" s="27">
        <v>24</v>
      </c>
      <c r="E42" s="26" t="s">
        <v>94</v>
      </c>
      <c r="F42" s="28">
        <v>8</v>
      </c>
      <c r="G42" s="64"/>
      <c r="H42" s="26"/>
      <c r="I42" s="27">
        <v>16</v>
      </c>
      <c r="J42" s="26" t="s">
        <v>98</v>
      </c>
      <c r="K42" s="28">
        <v>8</v>
      </c>
      <c r="L42" s="64"/>
      <c r="M42" s="26"/>
      <c r="N42" s="27"/>
      <c r="O42" s="26"/>
      <c r="P42" s="28"/>
      <c r="Q42" s="64"/>
      <c r="R42" s="26"/>
    </row>
    <row r="43" spans="1:18" x14ac:dyDescent="0.2">
      <c r="A43" s="26"/>
      <c r="B43" s="26"/>
      <c r="C43" s="26"/>
      <c r="D43" s="27">
        <v>25</v>
      </c>
      <c r="E43" s="26" t="s">
        <v>94</v>
      </c>
      <c r="F43" s="28">
        <v>8</v>
      </c>
      <c r="G43" s="64"/>
      <c r="H43" s="26"/>
      <c r="I43" s="27">
        <v>17</v>
      </c>
      <c r="J43" s="26" t="s">
        <v>98</v>
      </c>
      <c r="K43" s="28">
        <v>8</v>
      </c>
      <c r="L43" s="64"/>
      <c r="M43" s="26"/>
      <c r="N43" s="27"/>
      <c r="O43" s="26"/>
      <c r="P43" s="28"/>
      <c r="Q43" s="64"/>
      <c r="R43" s="26"/>
    </row>
    <row r="44" spans="1:18" x14ac:dyDescent="0.2">
      <c r="A44" s="26"/>
      <c r="B44" s="26"/>
      <c r="C44" s="26"/>
      <c r="D44" s="27">
        <v>26</v>
      </c>
      <c r="E44" s="26" t="s">
        <v>94</v>
      </c>
      <c r="F44" s="28">
        <v>8</v>
      </c>
      <c r="G44" s="64"/>
      <c r="H44" s="26"/>
      <c r="I44" s="27">
        <v>18</v>
      </c>
      <c r="J44" s="26" t="s">
        <v>114</v>
      </c>
      <c r="K44" s="28">
        <v>18</v>
      </c>
      <c r="L44" s="64"/>
      <c r="M44" s="26"/>
      <c r="N44" s="27"/>
      <c r="O44" s="26"/>
      <c r="P44" s="28"/>
      <c r="Q44" s="64"/>
      <c r="R44" s="26"/>
    </row>
    <row r="45" spans="1:18" x14ac:dyDescent="0.2">
      <c r="A45" s="26"/>
      <c r="B45" s="26"/>
      <c r="C45" s="26"/>
      <c r="D45" s="27"/>
      <c r="E45" s="26"/>
      <c r="F45" s="28"/>
      <c r="G45" s="64"/>
      <c r="H45" s="26"/>
      <c r="I45" s="27"/>
      <c r="J45" s="26"/>
      <c r="K45" s="28"/>
      <c r="L45" s="64"/>
      <c r="M45" s="26"/>
      <c r="N45" s="27"/>
      <c r="O45" s="26"/>
      <c r="P45" s="28"/>
      <c r="Q45" s="64"/>
      <c r="R45" s="26"/>
    </row>
    <row r="46" spans="1:18" x14ac:dyDescent="0.2">
      <c r="A46" s="26"/>
      <c r="B46" s="26"/>
      <c r="C46" s="26"/>
      <c r="D46" s="27">
        <v>27</v>
      </c>
      <c r="E46" s="26" t="s">
        <v>106</v>
      </c>
      <c r="F46" s="28">
        <v>8</v>
      </c>
      <c r="G46" s="64">
        <f>'Unit Cell Details'!$F$46+'Unit Cell Details'!$F$49</f>
        <v>0.55327721222222226</v>
      </c>
      <c r="H46" s="26"/>
      <c r="I46" s="27"/>
      <c r="J46" s="26"/>
      <c r="K46" s="28"/>
      <c r="L46" s="64"/>
      <c r="M46" s="26"/>
      <c r="N46" s="27"/>
      <c r="O46" s="26"/>
      <c r="P46" s="28"/>
      <c r="Q46" s="64"/>
      <c r="R46" s="26"/>
    </row>
    <row r="47" spans="1:18" x14ac:dyDescent="0.2">
      <c r="A47" s="26"/>
      <c r="B47" s="26"/>
      <c r="C47" s="26"/>
      <c r="D47" s="27">
        <v>28</v>
      </c>
      <c r="E47" s="26" t="s">
        <v>107</v>
      </c>
      <c r="F47" s="28">
        <v>8</v>
      </c>
      <c r="G47" s="64">
        <f>'Unit Cell Details'!$F$46+'Unit Cell Details'!$F$49</f>
        <v>0.55327721222222226</v>
      </c>
      <c r="H47" s="26"/>
      <c r="I47" s="27"/>
      <c r="J47" s="26"/>
      <c r="K47" s="28"/>
      <c r="L47" s="64"/>
      <c r="M47" s="26"/>
      <c r="N47" s="27"/>
      <c r="O47" s="26"/>
      <c r="P47" s="28"/>
      <c r="Q47" s="64"/>
      <c r="R47" s="26"/>
    </row>
    <row r="48" spans="1:18" x14ac:dyDescent="0.2">
      <c r="A48" s="26"/>
      <c r="B48" s="26"/>
      <c r="C48" s="26"/>
      <c r="D48" s="27">
        <v>29</v>
      </c>
      <c r="E48" s="26" t="s">
        <v>108</v>
      </c>
      <c r="F48" s="28">
        <v>8</v>
      </c>
      <c r="G48" s="64">
        <f>'Unit Cell Details'!$F$46+'Unit Cell Details'!$F$49</f>
        <v>0.55327721222222226</v>
      </c>
      <c r="H48" s="26"/>
      <c r="I48" s="27"/>
      <c r="J48" s="26"/>
      <c r="K48" s="28"/>
      <c r="L48" s="64"/>
      <c r="M48" s="26"/>
      <c r="N48" s="27"/>
      <c r="O48" s="26"/>
      <c r="P48" s="28"/>
      <c r="Q48" s="64"/>
      <c r="R48" s="26"/>
    </row>
    <row r="49" spans="1:18" x14ac:dyDescent="0.2">
      <c r="A49" s="26"/>
      <c r="B49" s="26"/>
      <c r="C49" s="26"/>
      <c r="D49" s="27">
        <v>30</v>
      </c>
      <c r="E49" s="26" t="s">
        <v>109</v>
      </c>
      <c r="F49" s="28">
        <v>8</v>
      </c>
      <c r="G49" s="64">
        <f>'Unit Cell Details'!$F$46+'Unit Cell Details'!$F$49</f>
        <v>0.55327721222222226</v>
      </c>
      <c r="H49" s="26"/>
      <c r="I49" s="27"/>
      <c r="J49" s="26"/>
      <c r="K49" s="28"/>
      <c r="L49" s="64"/>
      <c r="M49" s="26"/>
      <c r="N49" s="27"/>
      <c r="O49" s="26"/>
      <c r="P49" s="28"/>
      <c r="Q49" s="64"/>
      <c r="R49" s="26"/>
    </row>
    <row r="50" spans="1:18" x14ac:dyDescent="0.2">
      <c r="A50" s="26"/>
      <c r="B50" s="26"/>
      <c r="C50" s="26"/>
      <c r="D50" s="27">
        <v>31</v>
      </c>
      <c r="E50" s="26" t="s">
        <v>110</v>
      </c>
      <c r="F50" s="28">
        <v>8</v>
      </c>
      <c r="G50" s="64">
        <f>'Unit Cell Details'!$F$46+'Unit Cell Details'!$F$49</f>
        <v>0.55327721222222226</v>
      </c>
      <c r="H50" s="26"/>
      <c r="I50" s="27"/>
      <c r="J50" s="26"/>
      <c r="K50" s="28"/>
      <c r="L50" s="64"/>
      <c r="M50" s="26"/>
      <c r="N50" s="27"/>
      <c r="O50" s="26"/>
      <c r="P50" s="28"/>
      <c r="Q50" s="64"/>
      <c r="R50" s="26"/>
    </row>
    <row r="51" spans="1:18" x14ac:dyDescent="0.2">
      <c r="A51" s="26"/>
      <c r="B51" s="26"/>
      <c r="C51" s="26"/>
      <c r="D51" s="27">
        <v>32</v>
      </c>
      <c r="E51" s="26" t="s">
        <v>111</v>
      </c>
      <c r="F51" s="28">
        <v>8</v>
      </c>
      <c r="G51" s="64">
        <f>'Unit Cell Details'!$F$46+'Unit Cell Details'!$F$49</f>
        <v>0.55327721222222226</v>
      </c>
      <c r="H51" s="26"/>
      <c r="I51" s="27"/>
      <c r="J51" s="26"/>
      <c r="K51" s="28"/>
      <c r="L51" s="64"/>
      <c r="M51" s="26"/>
      <c r="N51" s="27"/>
      <c r="O51" s="26"/>
      <c r="P51" s="28"/>
      <c r="Q51" s="64"/>
      <c r="R51" s="26"/>
    </row>
    <row r="52" spans="1:18" x14ac:dyDescent="0.2">
      <c r="A52" s="26"/>
      <c r="B52" s="26"/>
      <c r="C52" s="26"/>
      <c r="D52" s="27"/>
      <c r="E52" s="26"/>
      <c r="F52" s="28"/>
      <c r="G52" s="64"/>
      <c r="H52" s="26"/>
      <c r="I52" s="27"/>
      <c r="J52" s="26"/>
      <c r="K52" s="28"/>
      <c r="L52" s="64"/>
      <c r="M52" s="26"/>
      <c r="N52" s="27"/>
      <c r="O52" s="26"/>
      <c r="P52" s="28"/>
      <c r="Q52" s="64"/>
      <c r="R52" s="26"/>
    </row>
    <row r="53" spans="1:18" x14ac:dyDescent="0.2">
      <c r="A53" s="26"/>
      <c r="B53" s="26"/>
      <c r="C53" s="26"/>
      <c r="D53" s="27">
        <v>33</v>
      </c>
      <c r="E53" s="26" t="s">
        <v>113</v>
      </c>
      <c r="F53" s="28">
        <v>18</v>
      </c>
      <c r="G53" s="64"/>
      <c r="H53" s="26"/>
      <c r="I53" s="27"/>
      <c r="J53" s="26"/>
      <c r="K53" s="28"/>
      <c r="L53" s="64"/>
      <c r="M53" s="26"/>
      <c r="N53" s="27"/>
      <c r="O53" s="26"/>
      <c r="P53" s="28"/>
      <c r="Q53" s="64"/>
      <c r="R53" s="26"/>
    </row>
    <row r="54" spans="1:18" x14ac:dyDescent="0.2">
      <c r="A54" s="26"/>
      <c r="B54" s="26"/>
      <c r="C54" s="26"/>
      <c r="D54" s="27"/>
      <c r="E54" s="26"/>
      <c r="F54" s="28"/>
      <c r="G54" s="64"/>
      <c r="H54" s="26"/>
      <c r="I54" s="27"/>
      <c r="J54" s="26"/>
      <c r="K54" s="28"/>
      <c r="L54" s="64"/>
      <c r="M54" s="26"/>
      <c r="N54" s="27"/>
      <c r="O54" s="26"/>
      <c r="P54" s="28"/>
      <c r="Q54" s="64"/>
      <c r="R54" s="26"/>
    </row>
    <row r="55" spans="1:18" x14ac:dyDescent="0.2">
      <c r="A55" s="26"/>
      <c r="B55" s="26"/>
      <c r="C55" s="26"/>
      <c r="D55" s="27"/>
      <c r="E55" s="26"/>
      <c r="F55" s="28"/>
      <c r="G55" s="64"/>
      <c r="H55" s="26"/>
      <c r="I55" s="27"/>
      <c r="J55" s="26"/>
      <c r="K55" s="28"/>
      <c r="L55" s="64"/>
      <c r="M55" s="26"/>
      <c r="N55" s="27"/>
      <c r="O55" s="26"/>
      <c r="P55" s="28"/>
      <c r="Q55" s="64"/>
      <c r="R55" s="26"/>
    </row>
    <row r="56" spans="1:18" x14ac:dyDescent="0.2">
      <c r="A56" s="26"/>
      <c r="B56" s="26"/>
      <c r="C56" s="26"/>
      <c r="D56" s="27"/>
      <c r="E56" s="26"/>
      <c r="F56" s="28"/>
      <c r="G56" s="64"/>
      <c r="H56" s="26"/>
      <c r="I56" s="27"/>
      <c r="J56" s="26"/>
      <c r="K56" s="28"/>
      <c r="L56" s="64"/>
      <c r="M56" s="26"/>
      <c r="N56" s="27"/>
      <c r="O56" s="26"/>
      <c r="P56" s="28"/>
      <c r="Q56" s="64"/>
      <c r="R56" s="26"/>
    </row>
    <row r="57" spans="1:18" x14ac:dyDescent="0.2">
      <c r="A57" s="26"/>
      <c r="B57" s="26"/>
      <c r="C57" s="26"/>
      <c r="D57" s="27"/>
      <c r="E57" s="26"/>
      <c r="F57" s="28"/>
      <c r="G57" s="64"/>
      <c r="H57" s="26"/>
      <c r="I57" s="27"/>
      <c r="J57" s="26"/>
      <c r="K57" s="28"/>
      <c r="L57" s="64"/>
      <c r="M57" s="26"/>
      <c r="N57" s="27"/>
      <c r="O57" s="26"/>
      <c r="P57" s="28"/>
      <c r="Q57" s="64"/>
      <c r="R57" s="26"/>
    </row>
    <row r="58" spans="1:18" x14ac:dyDescent="0.2">
      <c r="A58" s="26"/>
      <c r="B58" s="26"/>
      <c r="C58" s="26"/>
      <c r="D58" s="27"/>
      <c r="E58" s="26"/>
      <c r="F58" s="28"/>
      <c r="G58" s="64"/>
      <c r="H58" s="26"/>
      <c r="I58" s="27"/>
      <c r="J58" s="26"/>
      <c r="K58" s="28"/>
      <c r="L58" s="64"/>
      <c r="M58" s="26"/>
      <c r="N58" s="27"/>
      <c r="O58" s="26"/>
      <c r="P58" s="28"/>
      <c r="Q58" s="64"/>
      <c r="R58" s="26"/>
    </row>
    <row r="59" spans="1:18" x14ac:dyDescent="0.2">
      <c r="A59" s="26"/>
      <c r="B59" s="26"/>
      <c r="C59" s="26"/>
      <c r="D59" s="27"/>
      <c r="E59" s="26"/>
      <c r="F59" s="28"/>
      <c r="G59" s="64"/>
      <c r="H59" s="26"/>
      <c r="I59" s="27"/>
      <c r="J59" s="26"/>
      <c r="K59" s="28"/>
      <c r="L59" s="64"/>
      <c r="M59" s="26"/>
      <c r="N59" s="27"/>
      <c r="O59" s="26"/>
      <c r="P59" s="28"/>
      <c r="Q59" s="64"/>
      <c r="R59" s="26"/>
    </row>
    <row r="60" spans="1:18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</row>
    <row r="61" spans="1:18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</row>
    <row r="62" spans="1:18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</row>
    <row r="63" spans="1:18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</row>
  </sheetData>
  <mergeCells count="10">
    <mergeCell ref="A2:A3"/>
    <mergeCell ref="D14:D15"/>
    <mergeCell ref="E14:E15"/>
    <mergeCell ref="I14:I15"/>
    <mergeCell ref="J14:J15"/>
    <mergeCell ref="N14:N15"/>
    <mergeCell ref="O14:O15"/>
    <mergeCell ref="D13:G13"/>
    <mergeCell ref="I13:L13"/>
    <mergeCell ref="N13:Q1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0F726-46DC-4037-8A47-6E911BB55296}">
  <sheetPr codeName="Sheet27">
    <tabColor theme="9" tint="0.59999389629810485"/>
  </sheetPr>
  <dimension ref="A1:R63"/>
  <sheetViews>
    <sheetView workbookViewId="0"/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hidden="1" customWidth="1"/>
    <col min="8" max="8" width="1.6640625" customWidth="1"/>
    <col min="9" max="9" width="13.6640625" customWidth="1"/>
    <col min="10" max="10" width="54.6640625" customWidth="1"/>
    <col min="12" max="12" width="11" hidden="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hidden="1" customWidth="1"/>
  </cols>
  <sheetData>
    <row r="1" spans="1:1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18" x14ac:dyDescent="0.2">
      <c r="A2" s="247" t="s">
        <v>153</v>
      </c>
      <c r="B2" s="99"/>
      <c r="C2" s="26"/>
      <c r="D2" s="26"/>
      <c r="E2" s="69" t="s">
        <v>188</v>
      </c>
      <c r="F2" s="70" t="s">
        <v>90</v>
      </c>
      <c r="G2" s="70" t="s">
        <v>90</v>
      </c>
      <c r="H2" s="26"/>
      <c r="I2" s="26"/>
      <c r="J2" s="69" t="s">
        <v>121</v>
      </c>
      <c r="K2" s="70" t="s">
        <v>90</v>
      </c>
      <c r="L2" s="26"/>
      <c r="M2" s="26"/>
      <c r="N2" s="26"/>
      <c r="O2" s="26"/>
      <c r="P2" s="26"/>
      <c r="Q2" s="26"/>
      <c r="R2" s="26"/>
    </row>
    <row r="3" spans="1:18" x14ac:dyDescent="0.2">
      <c r="A3" s="248"/>
      <c r="B3" s="110">
        <f>Main!F7</f>
        <v>1</v>
      </c>
      <c r="C3" s="26"/>
      <c r="D3" s="26"/>
      <c r="E3" s="66" t="s">
        <v>189</v>
      </c>
      <c r="F3" s="67">
        <f>F12/24</f>
        <v>6.5</v>
      </c>
      <c r="G3" s="67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2">
      <c r="A4" s="26"/>
      <c r="B4" s="106" t="s">
        <v>223</v>
      </c>
      <c r="C4" s="109" t="s">
        <v>222</v>
      </c>
      <c r="D4" s="60"/>
      <c r="E4" s="26" t="s">
        <v>187</v>
      </c>
      <c r="F4" s="64">
        <f>P12/24</f>
        <v>11</v>
      </c>
      <c r="G4" s="64">
        <f>Q12/24</f>
        <v>0.54872049000000001</v>
      </c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2">
      <c r="A5" s="103" t="s">
        <v>192</v>
      </c>
      <c r="B5" s="107">
        <f>F3+(F7)*(IF(B2&lt;&gt;"",B2,B3)-1)</f>
        <v>6.5</v>
      </c>
      <c r="C5" s="111">
        <f>F3+(F7)*(IF(B2&lt;&gt;"",B2,B3)-1)</f>
        <v>6.5</v>
      </c>
      <c r="D5" s="105" t="s">
        <v>38</v>
      </c>
      <c r="E5" s="26"/>
      <c r="F5" s="64"/>
      <c r="G5" s="68"/>
      <c r="H5" s="26"/>
      <c r="I5" s="26"/>
      <c r="J5" s="71" t="s">
        <v>116</v>
      </c>
      <c r="K5" s="72">
        <f>K12/24</f>
        <v>6.083333333333333</v>
      </c>
      <c r="L5" s="26"/>
      <c r="M5" s="26"/>
      <c r="N5" s="26"/>
      <c r="O5" s="26"/>
      <c r="P5" s="26"/>
      <c r="Q5" s="26"/>
      <c r="R5" s="26"/>
    </row>
    <row r="6" spans="1:18" x14ac:dyDescent="0.2">
      <c r="A6" s="31" t="s">
        <v>193</v>
      </c>
      <c r="B6" s="108">
        <f>F4+(F8)*(IF(B2&lt;&gt;"",B2,B3)-1)</f>
        <v>11</v>
      </c>
      <c r="C6" s="112">
        <f>F4+G4+(F8+G8)*(IF(B2&lt;&gt;"",B2,B3)-1)</f>
        <v>11.548720490000001</v>
      </c>
      <c r="D6" s="33" t="s">
        <v>38</v>
      </c>
      <c r="E6" s="100" t="s">
        <v>120</v>
      </c>
      <c r="F6" s="70" t="s">
        <v>90</v>
      </c>
      <c r="G6" s="70" t="s">
        <v>90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2">
      <c r="A7" s="26"/>
      <c r="B7" s="62"/>
      <c r="C7" s="62"/>
      <c r="D7" s="26"/>
      <c r="E7" s="30" t="s">
        <v>190</v>
      </c>
      <c r="F7" s="64">
        <f>F12/24+F18/24</f>
        <v>7.25</v>
      </c>
      <c r="G7" s="64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2">
      <c r="A8" s="26"/>
      <c r="B8" s="26"/>
      <c r="C8" s="26"/>
      <c r="D8" s="26"/>
      <c r="E8" s="31" t="s">
        <v>191</v>
      </c>
      <c r="F8" s="68">
        <f>P12/24+P49/24</f>
        <v>11.75</v>
      </c>
      <c r="G8" s="68">
        <f>Q12/24+Q49/24</f>
        <v>0.54872049000000001</v>
      </c>
      <c r="H8" s="26"/>
      <c r="I8" s="26"/>
      <c r="J8" s="71" t="s">
        <v>116</v>
      </c>
      <c r="K8" s="72">
        <f>K5</f>
        <v>6.083333333333333</v>
      </c>
      <c r="L8" s="26"/>
      <c r="M8" s="26"/>
      <c r="N8" s="26"/>
      <c r="O8" s="26"/>
      <c r="P8" s="26"/>
      <c r="Q8" s="26"/>
      <c r="R8" s="26"/>
    </row>
    <row r="9" spans="1:18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1:18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18" x14ac:dyDescent="0.2">
      <c r="A11" s="26"/>
      <c r="B11" s="26"/>
      <c r="C11" s="26"/>
      <c r="D11" s="42"/>
      <c r="E11" s="43" t="s">
        <v>85</v>
      </c>
      <c r="F11" s="76"/>
      <c r="G11" s="44"/>
      <c r="H11" s="136"/>
      <c r="I11" s="42"/>
      <c r="J11" s="43" t="s">
        <v>84</v>
      </c>
      <c r="K11" s="76"/>
      <c r="L11" s="44"/>
      <c r="M11" s="136"/>
      <c r="N11" s="42"/>
      <c r="O11" s="43" t="s">
        <v>186</v>
      </c>
      <c r="P11" s="76"/>
      <c r="Q11" s="44"/>
      <c r="R11" s="30"/>
    </row>
    <row r="12" spans="1:18" x14ac:dyDescent="0.2">
      <c r="A12" s="26"/>
      <c r="B12" s="26"/>
      <c r="C12" s="26"/>
      <c r="D12" s="35" t="s">
        <v>112</v>
      </c>
      <c r="E12" s="36"/>
      <c r="F12" s="77">
        <f>SUM(F16:F59)</f>
        <v>156</v>
      </c>
      <c r="G12" s="94">
        <f>SUM(G16:G59)</f>
        <v>0</v>
      </c>
      <c r="H12" s="136"/>
      <c r="I12" s="35" t="s">
        <v>112</v>
      </c>
      <c r="J12" s="36"/>
      <c r="K12" s="77">
        <f>SUM(K16:K59)</f>
        <v>146</v>
      </c>
      <c r="L12" s="94">
        <f>SUM(L16:L59)</f>
        <v>0</v>
      </c>
      <c r="M12" s="136"/>
      <c r="N12" s="35"/>
      <c r="O12" s="36"/>
      <c r="P12" s="77">
        <f>SUM(P16:P59)</f>
        <v>264</v>
      </c>
      <c r="Q12" s="94">
        <f>SUM(Q16:Q59)</f>
        <v>13.16929176</v>
      </c>
      <c r="R12" s="30"/>
    </row>
    <row r="13" spans="1:18" x14ac:dyDescent="0.2">
      <c r="A13" s="26"/>
      <c r="B13" s="26"/>
      <c r="C13" s="26"/>
      <c r="D13" s="253"/>
      <c r="E13" s="254"/>
      <c r="F13" s="254"/>
      <c r="G13" s="255"/>
      <c r="H13" s="136"/>
      <c r="I13" s="253"/>
      <c r="J13" s="254"/>
      <c r="K13" s="254"/>
      <c r="L13" s="255"/>
      <c r="M13" s="136"/>
      <c r="N13" s="253"/>
      <c r="O13" s="254"/>
      <c r="P13" s="254"/>
      <c r="Q13" s="255"/>
      <c r="R13" s="30"/>
    </row>
    <row r="14" spans="1:18" x14ac:dyDescent="0.2">
      <c r="A14" s="26"/>
      <c r="B14" s="26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49" t="s">
        <v>83</v>
      </c>
      <c r="J14" s="251" t="s">
        <v>16</v>
      </c>
      <c r="K14" s="39" t="s">
        <v>17</v>
      </c>
      <c r="L14" s="39" t="s">
        <v>215</v>
      </c>
      <c r="M14" s="26"/>
      <c r="N14" s="249" t="s">
        <v>83</v>
      </c>
      <c r="O14" s="251"/>
      <c r="P14" s="39"/>
      <c r="Q14" s="39" t="s">
        <v>215</v>
      </c>
      <c r="R14" s="26"/>
    </row>
    <row r="15" spans="1:18" x14ac:dyDescent="0.2">
      <c r="A15" s="26"/>
      <c r="B15" s="26"/>
      <c r="C15" s="26"/>
      <c r="D15" s="250"/>
      <c r="E15" s="252"/>
      <c r="F15" s="41" t="s">
        <v>18</v>
      </c>
      <c r="G15" s="41" t="s">
        <v>18</v>
      </c>
      <c r="H15" s="26"/>
      <c r="I15" s="250"/>
      <c r="J15" s="252"/>
      <c r="K15" s="41" t="s">
        <v>18</v>
      </c>
      <c r="L15" s="41" t="s">
        <v>18</v>
      </c>
      <c r="M15" s="26"/>
      <c r="N15" s="250"/>
      <c r="O15" s="252"/>
      <c r="P15" s="41"/>
      <c r="Q15" s="41" t="s">
        <v>18</v>
      </c>
      <c r="R15" s="26"/>
    </row>
    <row r="16" spans="1:18" x14ac:dyDescent="0.2">
      <c r="A16" s="26"/>
      <c r="B16" s="26"/>
      <c r="C16" s="26"/>
      <c r="D16" s="27">
        <v>1</v>
      </c>
      <c r="E16" s="26" t="s">
        <v>162</v>
      </c>
      <c r="F16" s="28">
        <v>12</v>
      </c>
      <c r="G16" s="28"/>
      <c r="H16" s="26"/>
      <c r="I16" s="27"/>
      <c r="J16" s="26"/>
      <c r="K16" s="28"/>
      <c r="L16" s="28"/>
      <c r="M16" s="26"/>
      <c r="N16" s="27"/>
      <c r="O16" s="26" t="s">
        <v>19</v>
      </c>
      <c r="P16" s="28">
        <v>1</v>
      </c>
      <c r="Q16" s="28"/>
      <c r="R16" s="26"/>
    </row>
    <row r="17" spans="1:18" x14ac:dyDescent="0.2">
      <c r="A17" s="26"/>
      <c r="B17" s="26"/>
      <c r="C17" s="26"/>
      <c r="D17" s="27">
        <v>2</v>
      </c>
      <c r="E17" s="26" t="s">
        <v>163</v>
      </c>
      <c r="F17" s="28">
        <v>6</v>
      </c>
      <c r="G17" s="28"/>
      <c r="H17" s="26"/>
      <c r="I17" s="27"/>
      <c r="J17" s="26" t="s">
        <v>174</v>
      </c>
      <c r="K17" s="28">
        <v>24</v>
      </c>
      <c r="L17" s="28"/>
      <c r="M17" s="26"/>
      <c r="N17" s="27"/>
      <c r="O17" s="26" t="s">
        <v>20</v>
      </c>
      <c r="P17" s="28">
        <v>2</v>
      </c>
      <c r="Q17" s="64">
        <f>'Unit Cell Details'!$F$46</f>
        <v>0.56239065666666666</v>
      </c>
      <c r="R17" s="26"/>
    </row>
    <row r="18" spans="1:18" x14ac:dyDescent="0.2">
      <c r="A18" s="26"/>
      <c r="B18" s="26"/>
      <c r="C18" s="26"/>
      <c r="D18" s="27">
        <v>3</v>
      </c>
      <c r="E18" s="26" t="s">
        <v>139</v>
      </c>
      <c r="F18" s="28">
        <v>18</v>
      </c>
      <c r="G18" s="28"/>
      <c r="H18" s="26"/>
      <c r="I18" s="27"/>
      <c r="J18" s="26" t="s">
        <v>163</v>
      </c>
      <c r="K18" s="28">
        <v>6</v>
      </c>
      <c r="L18" s="28"/>
      <c r="M18" s="26"/>
      <c r="N18" s="27"/>
      <c r="O18" s="26" t="s">
        <v>21</v>
      </c>
      <c r="P18" s="28">
        <v>2</v>
      </c>
      <c r="Q18" s="64">
        <f>'Unit Cell Details'!$F$46</f>
        <v>0.56239065666666666</v>
      </c>
      <c r="R18" s="26"/>
    </row>
    <row r="19" spans="1:18" x14ac:dyDescent="0.2">
      <c r="A19" s="26"/>
      <c r="B19" s="26"/>
      <c r="C19" s="26"/>
      <c r="D19" s="27">
        <v>4</v>
      </c>
      <c r="E19" s="26"/>
      <c r="F19" s="28"/>
      <c r="G19" s="28"/>
      <c r="H19" s="26"/>
      <c r="I19" s="27"/>
      <c r="J19" s="26"/>
      <c r="K19" s="28"/>
      <c r="L19" s="28"/>
      <c r="M19" s="26"/>
      <c r="N19" s="27"/>
      <c r="O19" s="26" t="s">
        <v>22</v>
      </c>
      <c r="P19" s="28">
        <v>2</v>
      </c>
      <c r="Q19" s="64">
        <f>'Unit Cell Details'!$F$46</f>
        <v>0.56239065666666666</v>
      </c>
      <c r="R19" s="26"/>
    </row>
    <row r="20" spans="1:18" x14ac:dyDescent="0.2">
      <c r="A20" s="26"/>
      <c r="B20" s="26"/>
      <c r="C20" s="26"/>
      <c r="D20" s="27">
        <v>5</v>
      </c>
      <c r="E20" s="26" t="s">
        <v>164</v>
      </c>
      <c r="F20" s="28">
        <v>8</v>
      </c>
      <c r="G20" s="28"/>
      <c r="H20" s="26"/>
      <c r="I20" s="27"/>
      <c r="J20" s="26"/>
      <c r="K20" s="28"/>
      <c r="L20" s="28"/>
      <c r="M20" s="26"/>
      <c r="N20" s="27"/>
      <c r="O20" s="26" t="s">
        <v>180</v>
      </c>
      <c r="P20" s="28">
        <v>2</v>
      </c>
      <c r="Q20" s="64">
        <f>'Unit Cell Details'!$F$46</f>
        <v>0.56239065666666666</v>
      </c>
      <c r="R20" s="26"/>
    </row>
    <row r="21" spans="1:18" x14ac:dyDescent="0.2">
      <c r="A21" s="26"/>
      <c r="B21" s="26"/>
      <c r="C21" s="26"/>
      <c r="D21" s="27">
        <v>6</v>
      </c>
      <c r="E21" s="26" t="s">
        <v>165</v>
      </c>
      <c r="F21" s="28">
        <v>8</v>
      </c>
      <c r="G21" s="28"/>
      <c r="H21" s="26"/>
      <c r="I21" s="27"/>
      <c r="J21" s="26"/>
      <c r="K21" s="28"/>
      <c r="L21" s="28"/>
      <c r="M21" s="26"/>
      <c r="N21" s="27"/>
      <c r="O21" s="26" t="s">
        <v>23</v>
      </c>
      <c r="P21" s="28">
        <v>1.5</v>
      </c>
      <c r="Q21" s="64">
        <f>'Unit Cell Details'!$F$49</f>
        <v>-9.1134444444444448E-3</v>
      </c>
      <c r="R21" s="26"/>
    </row>
    <row r="22" spans="1:18" x14ac:dyDescent="0.2">
      <c r="A22" s="26"/>
      <c r="B22" s="26"/>
      <c r="C22" s="26"/>
      <c r="D22" s="27"/>
      <c r="E22" s="26" t="s">
        <v>166</v>
      </c>
      <c r="F22" s="28">
        <v>8</v>
      </c>
      <c r="G22" s="28"/>
      <c r="H22" s="26"/>
      <c r="I22" s="27"/>
      <c r="J22" s="26" t="s">
        <v>139</v>
      </c>
      <c r="K22" s="28">
        <v>24</v>
      </c>
      <c r="L22" s="28"/>
      <c r="M22" s="26"/>
      <c r="N22" s="27"/>
      <c r="O22" s="26" t="s">
        <v>23</v>
      </c>
      <c r="P22" s="28">
        <v>1.5</v>
      </c>
      <c r="Q22" s="64">
        <f>'Unit Cell Details'!$F$49</f>
        <v>-9.1134444444444448E-3</v>
      </c>
      <c r="R22" s="26"/>
    </row>
    <row r="23" spans="1:18" x14ac:dyDescent="0.2">
      <c r="A23" s="26"/>
      <c r="B23" s="26"/>
      <c r="C23" s="26"/>
      <c r="D23" s="27">
        <v>7</v>
      </c>
      <c r="E23" s="26"/>
      <c r="F23" s="28"/>
      <c r="G23" s="28"/>
      <c r="H23" s="26"/>
      <c r="I23" s="27"/>
      <c r="J23" s="26"/>
      <c r="K23" s="28"/>
      <c r="L23" s="28"/>
      <c r="M23" s="26"/>
      <c r="N23" s="27"/>
      <c r="O23" s="26" t="s">
        <v>23</v>
      </c>
      <c r="P23" s="28">
        <v>1.5</v>
      </c>
      <c r="Q23" s="64">
        <f>'Unit Cell Details'!$F$49</f>
        <v>-9.1134444444444448E-3</v>
      </c>
      <c r="R23" s="26"/>
    </row>
    <row r="24" spans="1:18" x14ac:dyDescent="0.2">
      <c r="A24" s="26"/>
      <c r="B24" s="26"/>
      <c r="C24" s="26"/>
      <c r="D24" s="27">
        <v>8</v>
      </c>
      <c r="E24" s="26" t="s">
        <v>167</v>
      </c>
      <c r="F24" s="28">
        <v>8</v>
      </c>
      <c r="G24" s="28"/>
      <c r="H24" s="26"/>
      <c r="I24" s="27"/>
      <c r="J24" s="26" t="s">
        <v>175</v>
      </c>
      <c r="K24" s="28">
        <v>8</v>
      </c>
      <c r="L24" s="28"/>
      <c r="M24" s="26"/>
      <c r="N24" s="27"/>
      <c r="O24" s="26" t="s">
        <v>23</v>
      </c>
      <c r="P24" s="28">
        <v>1.5</v>
      </c>
      <c r="Q24" s="64">
        <f>'Unit Cell Details'!$F$49</f>
        <v>-9.1134444444444448E-3</v>
      </c>
      <c r="R24" s="26"/>
    </row>
    <row r="25" spans="1:18" x14ac:dyDescent="0.2">
      <c r="A25" s="26"/>
      <c r="B25" s="26"/>
      <c r="C25" s="26"/>
      <c r="D25" s="27">
        <v>9</v>
      </c>
      <c r="E25" s="26"/>
      <c r="F25" s="28"/>
      <c r="G25" s="28"/>
      <c r="H25" s="26"/>
      <c r="I25" s="27"/>
      <c r="J25" s="26"/>
      <c r="K25" s="28"/>
      <c r="L25" s="28"/>
      <c r="M25" s="26"/>
      <c r="N25" s="27"/>
      <c r="O25" s="26" t="s">
        <v>23</v>
      </c>
      <c r="P25" s="28">
        <v>1.5</v>
      </c>
      <c r="Q25" s="64">
        <f>'Unit Cell Details'!$F$49</f>
        <v>-9.1134444444444448E-3</v>
      </c>
      <c r="R25" s="26"/>
    </row>
    <row r="26" spans="1:18" x14ac:dyDescent="0.2">
      <c r="A26" s="26"/>
      <c r="B26" s="26"/>
      <c r="C26" s="26"/>
      <c r="D26" s="27">
        <v>10</v>
      </c>
      <c r="E26" s="26" t="s">
        <v>168</v>
      </c>
      <c r="F26" s="28">
        <v>8</v>
      </c>
      <c r="G26" s="28"/>
      <c r="H26" s="26"/>
      <c r="I26" s="27"/>
      <c r="J26" s="26"/>
      <c r="K26" s="28"/>
      <c r="L26" s="28"/>
      <c r="M26" s="26"/>
      <c r="N26" s="27"/>
      <c r="O26" s="26" t="s">
        <v>23</v>
      </c>
      <c r="P26" s="28">
        <v>1.5</v>
      </c>
      <c r="Q26" s="64">
        <f>'Unit Cell Details'!$F$49</f>
        <v>-9.1134444444444448E-3</v>
      </c>
      <c r="R26" s="26"/>
    </row>
    <row r="27" spans="1:18" x14ac:dyDescent="0.2">
      <c r="A27" s="26"/>
      <c r="B27" s="26"/>
      <c r="C27" s="26"/>
      <c r="D27" s="27">
        <v>11</v>
      </c>
      <c r="E27" s="26" t="s">
        <v>169</v>
      </c>
      <c r="F27" s="28">
        <v>8</v>
      </c>
      <c r="G27" s="28"/>
      <c r="H27" s="26"/>
      <c r="I27" s="27"/>
      <c r="J27" s="26" t="s">
        <v>176</v>
      </c>
      <c r="K27" s="28">
        <v>12</v>
      </c>
      <c r="L27" s="28"/>
      <c r="M27" s="26"/>
      <c r="N27" s="27"/>
      <c r="O27" s="26" t="s">
        <v>23</v>
      </c>
      <c r="P27" s="28">
        <v>1.5</v>
      </c>
      <c r="Q27" s="64">
        <f>'Unit Cell Details'!$F$49</f>
        <v>-9.1134444444444448E-3</v>
      </c>
      <c r="R27" s="26"/>
    </row>
    <row r="28" spans="1:18" x14ac:dyDescent="0.2">
      <c r="A28" s="26"/>
      <c r="B28" s="26"/>
      <c r="C28" s="26"/>
      <c r="D28" s="27">
        <v>12</v>
      </c>
      <c r="E28" s="26" t="s">
        <v>170</v>
      </c>
      <c r="F28" s="28">
        <v>8</v>
      </c>
      <c r="G28" s="28"/>
      <c r="H28" s="26"/>
      <c r="I28" s="27"/>
      <c r="J28" s="26"/>
      <c r="K28" s="28"/>
      <c r="L28" s="28"/>
      <c r="M28" s="26"/>
      <c r="N28" s="27"/>
      <c r="O28" s="26" t="s">
        <v>23</v>
      </c>
      <c r="P28" s="28">
        <v>1.5</v>
      </c>
      <c r="Q28" s="64">
        <f>'Unit Cell Details'!$F$49</f>
        <v>-9.1134444444444448E-3</v>
      </c>
      <c r="R28" s="26"/>
    </row>
    <row r="29" spans="1:18" x14ac:dyDescent="0.2">
      <c r="A29" s="26"/>
      <c r="B29" s="26"/>
      <c r="C29" s="26"/>
      <c r="D29" s="27">
        <v>13</v>
      </c>
      <c r="E29" s="26"/>
      <c r="F29" s="28"/>
      <c r="G29" s="28"/>
      <c r="H29" s="26"/>
      <c r="I29" s="27"/>
      <c r="J29" s="26"/>
      <c r="K29" s="28"/>
      <c r="L29" s="28"/>
      <c r="M29" s="26"/>
      <c r="N29" s="27"/>
      <c r="O29" s="26" t="s">
        <v>25</v>
      </c>
      <c r="P29" s="28">
        <v>2</v>
      </c>
      <c r="Q29" s="28"/>
      <c r="R29" s="26"/>
    </row>
    <row r="30" spans="1:18" x14ac:dyDescent="0.2">
      <c r="A30" s="26"/>
      <c r="B30" s="26"/>
      <c r="C30" s="26"/>
      <c r="D30" s="27">
        <v>14</v>
      </c>
      <c r="E30" s="26" t="s">
        <v>167</v>
      </c>
      <c r="F30" s="28">
        <v>8</v>
      </c>
      <c r="G30" s="28"/>
      <c r="H30" s="26"/>
      <c r="I30" s="27"/>
      <c r="J30" s="26" t="s">
        <v>175</v>
      </c>
      <c r="K30" s="28">
        <v>8</v>
      </c>
      <c r="L30" s="28"/>
      <c r="M30" s="26"/>
      <c r="N30" s="27"/>
      <c r="O30" s="26" t="s">
        <v>26</v>
      </c>
      <c r="P30" s="28">
        <v>3</v>
      </c>
      <c r="Q30" s="28"/>
      <c r="R30" s="26"/>
    </row>
    <row r="31" spans="1:18" x14ac:dyDescent="0.2">
      <c r="A31" s="26"/>
      <c r="B31" s="26"/>
      <c r="C31" s="26"/>
      <c r="D31" s="27"/>
      <c r="E31" s="26"/>
      <c r="F31" s="28"/>
      <c r="G31" s="28"/>
      <c r="H31" s="26"/>
      <c r="I31" s="27"/>
      <c r="J31" s="26" t="s">
        <v>177</v>
      </c>
      <c r="K31" s="28">
        <v>24</v>
      </c>
      <c r="L31" s="28"/>
      <c r="M31" s="26"/>
      <c r="N31" s="27"/>
      <c r="O31" s="26"/>
      <c r="P31" s="28"/>
      <c r="Q31" s="28"/>
      <c r="R31" s="26"/>
    </row>
    <row r="32" spans="1:18" x14ac:dyDescent="0.2">
      <c r="A32" s="26"/>
      <c r="B32" s="26"/>
      <c r="C32" s="26"/>
      <c r="D32" s="27">
        <v>15</v>
      </c>
      <c r="E32" s="26" t="s">
        <v>171</v>
      </c>
      <c r="F32" s="28">
        <v>8</v>
      </c>
      <c r="G32" s="28"/>
      <c r="H32" s="26"/>
      <c r="I32" s="27"/>
      <c r="J32" s="26" t="s">
        <v>178</v>
      </c>
      <c r="K32" s="28">
        <v>8</v>
      </c>
      <c r="L32" s="28"/>
      <c r="M32" s="26"/>
      <c r="N32" s="27"/>
      <c r="O32" s="26"/>
      <c r="P32" s="28"/>
      <c r="Q32" s="28"/>
      <c r="R32" s="26"/>
    </row>
    <row r="33" spans="1:18" x14ac:dyDescent="0.2">
      <c r="A33" s="26"/>
      <c r="B33" s="26"/>
      <c r="C33" s="26"/>
      <c r="D33" s="27">
        <v>16</v>
      </c>
      <c r="E33" s="26" t="s">
        <v>172</v>
      </c>
      <c r="F33" s="28">
        <v>8</v>
      </c>
      <c r="G33" s="28"/>
      <c r="H33" s="26"/>
      <c r="I33" s="27"/>
      <c r="J33" s="26"/>
      <c r="K33" s="28"/>
      <c r="L33" s="28"/>
      <c r="M33" s="26"/>
      <c r="N33" s="27"/>
      <c r="O33" s="26"/>
      <c r="P33" s="28"/>
      <c r="Q33" s="28"/>
      <c r="R33" s="26"/>
    </row>
    <row r="34" spans="1:18" x14ac:dyDescent="0.2">
      <c r="A34" s="26"/>
      <c r="B34" s="26"/>
      <c r="C34" s="26"/>
      <c r="D34" s="27">
        <v>17</v>
      </c>
      <c r="E34" s="26" t="s">
        <v>173</v>
      </c>
      <c r="F34" s="28">
        <v>8</v>
      </c>
      <c r="G34" s="28"/>
      <c r="H34" s="26"/>
      <c r="I34" s="27"/>
      <c r="J34" s="26"/>
      <c r="K34" s="28"/>
      <c r="L34" s="28"/>
      <c r="M34" s="26"/>
      <c r="N34" s="27"/>
      <c r="O34" s="26" t="s">
        <v>181</v>
      </c>
      <c r="P34" s="28">
        <v>18</v>
      </c>
      <c r="Q34" s="28"/>
      <c r="R34" s="26"/>
    </row>
    <row r="35" spans="1:18" x14ac:dyDescent="0.2">
      <c r="A35" s="26"/>
      <c r="B35" s="26"/>
      <c r="C35" s="26"/>
      <c r="D35" s="27">
        <v>18</v>
      </c>
      <c r="E35" s="26"/>
      <c r="F35" s="28"/>
      <c r="G35" s="28"/>
      <c r="H35" s="26"/>
      <c r="I35" s="27"/>
      <c r="J35" s="26"/>
      <c r="K35" s="28"/>
      <c r="L35" s="28"/>
      <c r="M35" s="26"/>
      <c r="N35" s="27"/>
      <c r="O35" s="26"/>
      <c r="P35" s="28"/>
      <c r="Q35" s="28"/>
      <c r="R35" s="26"/>
    </row>
    <row r="36" spans="1:18" x14ac:dyDescent="0.2">
      <c r="A36" s="26"/>
      <c r="B36" s="26"/>
      <c r="C36" s="26"/>
      <c r="D36" s="27">
        <v>19</v>
      </c>
      <c r="E36" s="26" t="s">
        <v>167</v>
      </c>
      <c r="F36" s="28">
        <v>8</v>
      </c>
      <c r="G36" s="28"/>
      <c r="H36" s="26"/>
      <c r="I36" s="27"/>
      <c r="J36" s="26" t="s">
        <v>175</v>
      </c>
      <c r="K36" s="28">
        <v>8</v>
      </c>
      <c r="L36" s="28"/>
      <c r="M36" s="26"/>
      <c r="N36" s="27"/>
      <c r="O36" s="26" t="s">
        <v>32</v>
      </c>
      <c r="P36" s="28">
        <v>8</v>
      </c>
      <c r="Q36" s="64">
        <f>'Unit Cell Details'!$F$46+'Unit Cell Details'!$F$49</f>
        <v>0.55327721222222226</v>
      </c>
      <c r="R36" s="26"/>
    </row>
    <row r="37" spans="1:18" x14ac:dyDescent="0.2">
      <c r="A37" s="26"/>
      <c r="B37" s="26"/>
      <c r="C37" s="26"/>
      <c r="D37" s="27">
        <v>20</v>
      </c>
      <c r="E37" s="26"/>
      <c r="F37" s="28"/>
      <c r="G37" s="28"/>
      <c r="H37" s="26"/>
      <c r="I37" s="27"/>
      <c r="J37" s="26" t="s">
        <v>179</v>
      </c>
      <c r="K37" s="28">
        <v>24</v>
      </c>
      <c r="L37" s="28"/>
      <c r="M37" s="26"/>
      <c r="N37" s="27"/>
      <c r="O37" s="26" t="s">
        <v>33</v>
      </c>
      <c r="P37" s="28">
        <v>8</v>
      </c>
      <c r="Q37" s="64">
        <f>'Unit Cell Details'!$F$46+'Unit Cell Details'!$F$49</f>
        <v>0.55327721222222226</v>
      </c>
      <c r="R37" s="26"/>
    </row>
    <row r="38" spans="1:18" x14ac:dyDescent="0.2">
      <c r="A38" s="26"/>
      <c r="B38" s="26"/>
      <c r="C38" s="26"/>
      <c r="D38" s="27"/>
      <c r="E38" s="26" t="s">
        <v>171</v>
      </c>
      <c r="F38" s="28">
        <v>8</v>
      </c>
      <c r="G38" s="28"/>
      <c r="H38" s="26"/>
      <c r="I38" s="27"/>
      <c r="J38" s="26"/>
      <c r="K38" s="28"/>
      <c r="L38" s="28"/>
      <c r="M38" s="26"/>
      <c r="N38" s="27"/>
      <c r="O38" s="26" t="s">
        <v>34</v>
      </c>
      <c r="P38" s="28">
        <v>8</v>
      </c>
      <c r="Q38" s="64">
        <f>'Unit Cell Details'!$F$46+'Unit Cell Details'!$F$49</f>
        <v>0.55327721222222226</v>
      </c>
      <c r="R38" s="26"/>
    </row>
    <row r="39" spans="1:18" x14ac:dyDescent="0.2">
      <c r="A39" s="26"/>
      <c r="B39" s="26"/>
      <c r="C39" s="26"/>
      <c r="D39" s="27">
        <v>21</v>
      </c>
      <c r="E39" s="26" t="s">
        <v>172</v>
      </c>
      <c r="F39" s="28">
        <v>8</v>
      </c>
      <c r="G39" s="28"/>
      <c r="H39" s="26"/>
      <c r="I39" s="27"/>
      <c r="J39" s="26"/>
      <c r="K39" s="28"/>
      <c r="L39" s="28"/>
      <c r="M39" s="26"/>
      <c r="N39" s="27"/>
      <c r="O39" s="26" t="s">
        <v>182</v>
      </c>
      <c r="P39" s="28">
        <v>8</v>
      </c>
      <c r="Q39" s="64">
        <f>'Unit Cell Details'!$F$46+'Unit Cell Details'!$F$49</f>
        <v>0.55327721222222226</v>
      </c>
      <c r="R39" s="26"/>
    </row>
    <row r="40" spans="1:18" x14ac:dyDescent="0.2">
      <c r="A40" s="26"/>
      <c r="B40" s="26"/>
      <c r="C40" s="26"/>
      <c r="D40" s="27">
        <v>22</v>
      </c>
      <c r="E40" s="26" t="s">
        <v>173</v>
      </c>
      <c r="F40" s="28">
        <v>8</v>
      </c>
      <c r="G40" s="28"/>
      <c r="H40" s="26"/>
      <c r="I40" s="27"/>
      <c r="J40" s="26"/>
      <c r="K40" s="28"/>
      <c r="L40" s="28"/>
      <c r="M40" s="26"/>
      <c r="N40" s="27"/>
      <c r="O40" s="26"/>
      <c r="P40" s="28"/>
      <c r="Q40" s="28"/>
      <c r="R40" s="26"/>
    </row>
    <row r="41" spans="1:18" x14ac:dyDescent="0.2">
      <c r="A41" s="26"/>
      <c r="B41" s="26"/>
      <c r="C41" s="26"/>
      <c r="D41" s="27"/>
      <c r="E41" s="26"/>
      <c r="F41" s="28"/>
      <c r="G41" s="28"/>
      <c r="H41" s="26"/>
      <c r="I41" s="27"/>
      <c r="J41" s="26"/>
      <c r="K41" s="28"/>
      <c r="L41" s="28"/>
      <c r="M41" s="26"/>
      <c r="N41" s="27"/>
      <c r="O41" s="26" t="s">
        <v>183</v>
      </c>
      <c r="P41" s="28">
        <v>18</v>
      </c>
      <c r="Q41" s="28"/>
      <c r="R41" s="26"/>
    </row>
    <row r="42" spans="1:18" x14ac:dyDescent="0.2">
      <c r="A42" s="26"/>
      <c r="B42" s="26"/>
      <c r="C42" s="26"/>
      <c r="D42" s="27"/>
      <c r="E42" s="26"/>
      <c r="F42" s="28"/>
      <c r="G42" s="28"/>
      <c r="H42" s="26"/>
      <c r="I42" s="27"/>
      <c r="J42" s="26"/>
      <c r="K42" s="28"/>
      <c r="L42" s="28"/>
      <c r="M42" s="26"/>
      <c r="N42" s="27"/>
      <c r="O42" s="26"/>
      <c r="P42" s="28"/>
      <c r="Q42" s="28"/>
      <c r="R42" s="26"/>
    </row>
    <row r="43" spans="1:18" x14ac:dyDescent="0.2">
      <c r="A43" s="26"/>
      <c r="B43" s="26"/>
      <c r="C43" s="26"/>
      <c r="D43" s="27"/>
      <c r="E43" s="26"/>
      <c r="F43" s="28"/>
      <c r="G43" s="28"/>
      <c r="H43" s="26"/>
      <c r="I43" s="27"/>
      <c r="J43" s="26"/>
      <c r="K43" s="28"/>
      <c r="L43" s="28"/>
      <c r="M43" s="26"/>
      <c r="N43" s="27"/>
      <c r="O43" s="26" t="s">
        <v>184</v>
      </c>
      <c r="P43" s="28">
        <f>SUM($P$16:$P$30)</f>
        <v>26</v>
      </c>
      <c r="Q43" s="64">
        <f>SUM($Q$16:$Q$30)</f>
        <v>2.1766550711111106</v>
      </c>
      <c r="R43" s="26"/>
    </row>
    <row r="44" spans="1:18" x14ac:dyDescent="0.2">
      <c r="A44" s="26"/>
      <c r="B44" s="26"/>
      <c r="C44" s="26"/>
      <c r="D44" s="27"/>
      <c r="E44" s="26"/>
      <c r="F44" s="28"/>
      <c r="G44" s="28"/>
      <c r="H44" s="26"/>
      <c r="I44" s="27"/>
      <c r="J44" s="26"/>
      <c r="K44" s="28"/>
      <c r="L44" s="28"/>
      <c r="M44" s="26"/>
      <c r="N44" s="27"/>
      <c r="O44" s="26"/>
      <c r="P44" s="28"/>
      <c r="Q44" s="28"/>
      <c r="R44" s="26"/>
    </row>
    <row r="45" spans="1:18" x14ac:dyDescent="0.2">
      <c r="A45" s="26"/>
      <c r="B45" s="26"/>
      <c r="C45" s="26"/>
      <c r="D45" s="27"/>
      <c r="E45" s="26"/>
      <c r="F45" s="28"/>
      <c r="G45" s="28"/>
      <c r="H45" s="26"/>
      <c r="I45" s="27"/>
      <c r="J45" s="26"/>
      <c r="K45" s="28"/>
      <c r="L45" s="28"/>
      <c r="M45" s="26"/>
      <c r="N45" s="27"/>
      <c r="O45" s="26" t="s">
        <v>181</v>
      </c>
      <c r="P45" s="28">
        <v>18</v>
      </c>
      <c r="Q45" s="28"/>
      <c r="R45" s="26"/>
    </row>
    <row r="46" spans="1:18" x14ac:dyDescent="0.2">
      <c r="A46" s="26"/>
      <c r="B46" s="26"/>
      <c r="C46" s="26"/>
      <c r="D46" s="27"/>
      <c r="E46" s="26"/>
      <c r="F46" s="28"/>
      <c r="G46" s="28"/>
      <c r="H46" s="26"/>
      <c r="I46" s="27"/>
      <c r="J46" s="26"/>
      <c r="K46" s="28"/>
      <c r="L46" s="28"/>
      <c r="M46" s="26"/>
      <c r="N46" s="27"/>
      <c r="O46" s="26"/>
      <c r="P46" s="28"/>
      <c r="Q46" s="28"/>
      <c r="R46" s="26"/>
    </row>
    <row r="47" spans="1:18" x14ac:dyDescent="0.2">
      <c r="A47" s="26"/>
      <c r="B47" s="26"/>
      <c r="C47" s="26"/>
      <c r="D47" s="27"/>
      <c r="E47" s="26"/>
      <c r="F47" s="28"/>
      <c r="G47" s="28"/>
      <c r="H47" s="26"/>
      <c r="I47" s="27"/>
      <c r="J47" s="26"/>
      <c r="K47" s="28"/>
      <c r="L47" s="28"/>
      <c r="M47" s="26"/>
      <c r="N47" s="27"/>
      <c r="O47" s="26" t="s">
        <v>185</v>
      </c>
      <c r="P47" s="28">
        <f>SUM($P$36:$P$39)</f>
        <v>32</v>
      </c>
      <c r="Q47" s="64">
        <f>SUM($Q$36:$Q$39)</f>
        <v>2.213108848888889</v>
      </c>
      <c r="R47" s="26"/>
    </row>
    <row r="48" spans="1:18" x14ac:dyDescent="0.2">
      <c r="A48" s="26"/>
      <c r="B48" s="26"/>
      <c r="C48" s="26"/>
      <c r="D48" s="27"/>
      <c r="E48" s="26"/>
      <c r="F48" s="28"/>
      <c r="G48" s="28"/>
      <c r="H48" s="26"/>
      <c r="I48" s="27"/>
      <c r="J48" s="26"/>
      <c r="K48" s="28"/>
      <c r="L48" s="28"/>
      <c r="M48" s="26"/>
      <c r="N48" s="27"/>
      <c r="O48" s="26"/>
      <c r="P48" s="28"/>
      <c r="Q48" s="28"/>
      <c r="R48" s="26"/>
    </row>
    <row r="49" spans="1:18" x14ac:dyDescent="0.2">
      <c r="A49" s="26"/>
      <c r="B49" s="26"/>
      <c r="C49" s="26"/>
      <c r="D49" s="27"/>
      <c r="E49" s="26"/>
      <c r="F49" s="28"/>
      <c r="G49" s="28"/>
      <c r="H49" s="26"/>
      <c r="I49" s="27"/>
      <c r="J49" s="26"/>
      <c r="K49" s="28"/>
      <c r="L49" s="28"/>
      <c r="M49" s="26"/>
      <c r="N49" s="27"/>
      <c r="O49" s="26" t="s">
        <v>183</v>
      </c>
      <c r="P49" s="28">
        <v>18</v>
      </c>
      <c r="Q49" s="28"/>
      <c r="R49" s="26"/>
    </row>
    <row r="50" spans="1:18" x14ac:dyDescent="0.2">
      <c r="A50" s="26"/>
      <c r="B50" s="26"/>
      <c r="C50" s="26"/>
      <c r="D50" s="27"/>
      <c r="E50" s="26"/>
      <c r="F50" s="28"/>
      <c r="G50" s="28"/>
      <c r="H50" s="26"/>
      <c r="I50" s="27"/>
      <c r="J50" s="26"/>
      <c r="K50" s="28"/>
      <c r="L50" s="28"/>
      <c r="M50" s="26"/>
      <c r="N50" s="27"/>
      <c r="O50" s="26"/>
      <c r="P50" s="28"/>
      <c r="Q50" s="28"/>
      <c r="R50" s="26"/>
    </row>
    <row r="51" spans="1:18" x14ac:dyDescent="0.2">
      <c r="A51" s="26"/>
      <c r="B51" s="26"/>
      <c r="C51" s="26"/>
      <c r="D51" s="27"/>
      <c r="E51" s="26"/>
      <c r="F51" s="28"/>
      <c r="G51" s="28"/>
      <c r="H51" s="26"/>
      <c r="I51" s="27"/>
      <c r="J51" s="26"/>
      <c r="K51" s="28"/>
      <c r="L51" s="28"/>
      <c r="M51" s="26"/>
      <c r="N51" s="27"/>
      <c r="O51" s="26" t="s">
        <v>184</v>
      </c>
      <c r="P51" s="28">
        <f>SUM($P$16:$P$30)</f>
        <v>26</v>
      </c>
      <c r="Q51" s="64">
        <f>SUM($Q$16:$Q$30)</f>
        <v>2.1766550711111106</v>
      </c>
      <c r="R51" s="26"/>
    </row>
    <row r="52" spans="1:18" x14ac:dyDescent="0.2">
      <c r="A52" s="26"/>
      <c r="B52" s="26"/>
      <c r="C52" s="26"/>
      <c r="D52" s="27"/>
      <c r="E52" s="26"/>
      <c r="F52" s="28"/>
      <c r="G52" s="28"/>
      <c r="H52" s="26"/>
      <c r="I52" s="27"/>
      <c r="J52" s="26"/>
      <c r="K52" s="28"/>
      <c r="L52" s="28"/>
      <c r="M52" s="26"/>
      <c r="N52" s="27"/>
      <c r="O52" s="26"/>
      <c r="P52" s="28"/>
      <c r="Q52" s="28"/>
      <c r="R52" s="26"/>
    </row>
    <row r="53" spans="1:18" x14ac:dyDescent="0.2">
      <c r="A53" s="26"/>
      <c r="B53" s="26"/>
      <c r="C53" s="26"/>
      <c r="D53" s="27"/>
      <c r="E53" s="26"/>
      <c r="F53" s="28"/>
      <c r="G53" s="28"/>
      <c r="H53" s="26"/>
      <c r="I53" s="27"/>
      <c r="J53" s="26"/>
      <c r="K53" s="28"/>
      <c r="L53" s="28"/>
      <c r="M53" s="26"/>
      <c r="N53" s="27"/>
      <c r="O53" s="26" t="s">
        <v>181</v>
      </c>
      <c r="P53" s="28">
        <v>18</v>
      </c>
      <c r="Q53" s="28"/>
      <c r="R53" s="26"/>
    </row>
    <row r="54" spans="1:18" x14ac:dyDescent="0.2">
      <c r="A54" s="26"/>
      <c r="B54" s="26"/>
      <c r="C54" s="26"/>
      <c r="D54" s="27"/>
      <c r="E54" s="26"/>
      <c r="F54" s="28"/>
      <c r="G54" s="28"/>
      <c r="H54" s="26"/>
      <c r="I54" s="27"/>
      <c r="J54" s="26"/>
      <c r="K54" s="28"/>
      <c r="L54" s="28"/>
      <c r="M54" s="26"/>
      <c r="N54" s="27"/>
      <c r="O54" s="26"/>
      <c r="P54" s="28"/>
      <c r="Q54" s="28"/>
      <c r="R54" s="26"/>
    </row>
    <row r="55" spans="1:18" x14ac:dyDescent="0.2">
      <c r="A55" s="26"/>
      <c r="B55" s="26"/>
      <c r="C55" s="26"/>
      <c r="D55" s="27"/>
      <c r="E55" s="26"/>
      <c r="F55" s="28"/>
      <c r="G55" s="28"/>
      <c r="H55" s="26"/>
      <c r="I55" s="27"/>
      <c r="J55" s="26"/>
      <c r="K55" s="28"/>
      <c r="L55" s="28"/>
      <c r="M55" s="26"/>
      <c r="N55" s="27"/>
      <c r="O55" s="26" t="s">
        <v>185</v>
      </c>
      <c r="P55" s="28">
        <f>SUM($P$36:$P$39)</f>
        <v>32</v>
      </c>
      <c r="Q55" s="64">
        <f>SUM($Q$36:$Q$39)</f>
        <v>2.213108848888889</v>
      </c>
      <c r="R55" s="26"/>
    </row>
    <row r="56" spans="1:18" x14ac:dyDescent="0.2">
      <c r="A56" s="26"/>
      <c r="B56" s="26"/>
      <c r="C56" s="26"/>
      <c r="D56" s="27"/>
      <c r="E56" s="26"/>
      <c r="F56" s="28"/>
      <c r="G56" s="28"/>
      <c r="H56" s="26"/>
      <c r="I56" s="27"/>
      <c r="J56" s="26"/>
      <c r="K56" s="28"/>
      <c r="L56" s="28"/>
      <c r="M56" s="26"/>
      <c r="N56" s="27"/>
      <c r="O56" s="26"/>
      <c r="P56" s="28"/>
      <c r="Q56" s="28"/>
      <c r="R56" s="26"/>
    </row>
    <row r="57" spans="1:18" x14ac:dyDescent="0.2">
      <c r="A57" s="26"/>
      <c r="B57" s="26"/>
      <c r="C57" s="26"/>
      <c r="D57" s="27"/>
      <c r="E57" s="26"/>
      <c r="F57" s="28"/>
      <c r="G57" s="28"/>
      <c r="H57" s="26"/>
      <c r="I57" s="27"/>
      <c r="J57" s="26"/>
      <c r="K57" s="28"/>
      <c r="L57" s="28"/>
      <c r="M57" s="26"/>
      <c r="N57" s="27"/>
      <c r="O57" s="26"/>
      <c r="P57" s="28"/>
      <c r="Q57" s="28"/>
      <c r="R57" s="26"/>
    </row>
    <row r="58" spans="1:18" x14ac:dyDescent="0.2">
      <c r="A58" s="26"/>
      <c r="B58" s="26"/>
      <c r="C58" s="26"/>
      <c r="D58" s="27"/>
      <c r="E58" s="26"/>
      <c r="F58" s="28"/>
      <c r="G58" s="28"/>
      <c r="H58" s="26"/>
      <c r="I58" s="27"/>
      <c r="J58" s="26"/>
      <c r="K58" s="28"/>
      <c r="L58" s="28"/>
      <c r="M58" s="26"/>
      <c r="N58" s="27"/>
      <c r="O58" s="26"/>
      <c r="P58" s="28"/>
      <c r="Q58" s="28"/>
      <c r="R58" s="26"/>
    </row>
    <row r="59" spans="1:18" x14ac:dyDescent="0.2">
      <c r="A59" s="26"/>
      <c r="B59" s="26"/>
      <c r="C59" s="26"/>
      <c r="D59" s="27"/>
      <c r="E59" s="26"/>
      <c r="F59" s="28"/>
      <c r="G59" s="28"/>
      <c r="H59" s="26"/>
      <c r="I59" s="27"/>
      <c r="J59" s="26"/>
      <c r="K59" s="28"/>
      <c r="L59" s="28"/>
      <c r="M59" s="26"/>
      <c r="N59" s="27"/>
      <c r="O59" s="26"/>
      <c r="P59" s="28"/>
      <c r="Q59" s="28"/>
      <c r="R59" s="26"/>
    </row>
    <row r="60" spans="1:18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</row>
    <row r="61" spans="1:18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</row>
    <row r="62" spans="1:18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</row>
    <row r="63" spans="1:18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</row>
  </sheetData>
  <mergeCells count="10">
    <mergeCell ref="I13:L13"/>
    <mergeCell ref="N13:Q13"/>
    <mergeCell ref="A2:A3"/>
    <mergeCell ref="D14:D15"/>
    <mergeCell ref="E14:E15"/>
    <mergeCell ref="I14:I15"/>
    <mergeCell ref="J14:J15"/>
    <mergeCell ref="N14:N15"/>
    <mergeCell ref="O14:O15"/>
    <mergeCell ref="D13:G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A989-C07E-4979-A799-DF41E8A4907D}">
  <sheetPr codeName="Sheet6">
    <tabColor theme="7" tint="0.59999389629810485"/>
  </sheetPr>
  <dimension ref="A1:R63"/>
  <sheetViews>
    <sheetView workbookViewId="0"/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hidden="1" customWidth="1"/>
    <col min="8" max="8" width="1.6640625" customWidth="1"/>
    <col min="9" max="9" width="13.6640625" customWidth="1"/>
    <col min="10" max="10" width="54.6640625" customWidth="1"/>
    <col min="12" max="12" width="11" hidden="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hidden="1" customWidth="1"/>
  </cols>
  <sheetData>
    <row r="1" spans="1:1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18" x14ac:dyDescent="0.2">
      <c r="A2" s="247" t="s">
        <v>153</v>
      </c>
      <c r="B2" s="99"/>
      <c r="C2" s="26"/>
      <c r="D2" s="26"/>
      <c r="E2" s="69" t="s">
        <v>157</v>
      </c>
      <c r="F2" s="70" t="s">
        <v>90</v>
      </c>
      <c r="G2" s="70" t="s">
        <v>90</v>
      </c>
      <c r="H2" s="26"/>
      <c r="I2" s="26"/>
      <c r="J2" s="69"/>
      <c r="K2" s="70"/>
      <c r="L2" s="26"/>
      <c r="M2" s="26"/>
      <c r="N2" s="26"/>
      <c r="O2" s="26"/>
      <c r="P2" s="26"/>
      <c r="Q2" s="26"/>
      <c r="R2" s="26"/>
    </row>
    <row r="3" spans="1:18" x14ac:dyDescent="0.2">
      <c r="A3" s="248"/>
      <c r="B3" s="110">
        <f>Main!F7</f>
        <v>1</v>
      </c>
      <c r="C3" s="26"/>
      <c r="D3" s="26"/>
      <c r="E3" s="66" t="s">
        <v>158</v>
      </c>
      <c r="F3" s="67">
        <f>F12/24</f>
        <v>3.25</v>
      </c>
      <c r="G3" s="67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2">
      <c r="A4" s="26"/>
      <c r="B4" s="106" t="s">
        <v>223</v>
      </c>
      <c r="C4" s="109" t="s">
        <v>222</v>
      </c>
      <c r="D4" s="60"/>
      <c r="E4" s="101" t="s">
        <v>160</v>
      </c>
      <c r="F4" s="64"/>
      <c r="G4" s="64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2">
      <c r="A5" s="103" t="s">
        <v>192</v>
      </c>
      <c r="B5" s="107">
        <v>0</v>
      </c>
      <c r="C5" s="111"/>
      <c r="D5" s="105" t="s">
        <v>38</v>
      </c>
      <c r="E5" s="32"/>
      <c r="F5" s="68"/>
      <c r="G5" s="68"/>
      <c r="H5" s="26"/>
      <c r="I5" s="26"/>
      <c r="J5" s="71"/>
      <c r="K5" s="72"/>
      <c r="L5" s="26"/>
      <c r="M5" s="26"/>
      <c r="N5" s="26"/>
      <c r="O5" s="26"/>
      <c r="P5" s="26"/>
      <c r="Q5" s="26"/>
      <c r="R5" s="26"/>
    </row>
    <row r="6" spans="1:18" x14ac:dyDescent="0.2">
      <c r="A6" s="31" t="s">
        <v>193</v>
      </c>
      <c r="B6" s="108">
        <f>F3+F7*(IF(B2&lt;&gt;"",B2,B3)-1)</f>
        <v>3.25</v>
      </c>
      <c r="C6" s="112"/>
      <c r="D6" s="33" t="s">
        <v>38</v>
      </c>
      <c r="E6" s="100" t="s">
        <v>120</v>
      </c>
      <c r="F6" s="70" t="s">
        <v>90</v>
      </c>
      <c r="G6" s="70" t="s">
        <v>90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2">
      <c r="A7" s="26"/>
      <c r="B7" s="26"/>
      <c r="C7" s="26"/>
      <c r="D7" s="26"/>
      <c r="E7" s="66" t="s">
        <v>159</v>
      </c>
      <c r="F7" s="64">
        <f>F12/24-F36/24</f>
        <v>2.75</v>
      </c>
      <c r="G7" s="97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2">
      <c r="A8" s="26"/>
      <c r="B8" s="26"/>
      <c r="C8" s="26"/>
      <c r="D8" s="26"/>
      <c r="E8" s="31"/>
      <c r="F8" s="68"/>
      <c r="G8" s="98"/>
      <c r="H8" s="26"/>
      <c r="I8" s="26"/>
      <c r="J8" s="71"/>
      <c r="K8" s="72"/>
      <c r="L8" s="26"/>
      <c r="M8" s="26"/>
      <c r="N8" s="26"/>
      <c r="O8" s="26"/>
      <c r="P8" s="26"/>
      <c r="Q8" s="26"/>
      <c r="R8" s="26"/>
    </row>
    <row r="9" spans="1:18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1:18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18" x14ac:dyDescent="0.2">
      <c r="A11" s="26"/>
      <c r="B11" s="26"/>
      <c r="C11" s="26"/>
      <c r="D11" s="42"/>
      <c r="E11" s="43" t="s">
        <v>156</v>
      </c>
      <c r="F11" s="76"/>
      <c r="G11" s="44"/>
      <c r="H11" s="136"/>
      <c r="I11" s="42"/>
      <c r="J11" s="43"/>
      <c r="K11" s="76"/>
      <c r="L11" s="44"/>
      <c r="M11" s="136"/>
      <c r="N11" s="42"/>
      <c r="O11" s="43"/>
      <c r="P11" s="76"/>
      <c r="Q11" s="44"/>
      <c r="R11" s="30"/>
    </row>
    <row r="12" spans="1:18" x14ac:dyDescent="0.2">
      <c r="A12" s="26"/>
      <c r="B12" s="26"/>
      <c r="C12" s="26"/>
      <c r="D12" s="35" t="s">
        <v>112</v>
      </c>
      <c r="E12" s="36"/>
      <c r="F12" s="77">
        <f>SUM(F16:F59)</f>
        <v>78</v>
      </c>
      <c r="G12" s="94">
        <f>SUM(G16:G59)</f>
        <v>0</v>
      </c>
      <c r="H12" s="136"/>
      <c r="I12" s="35" t="s">
        <v>112</v>
      </c>
      <c r="J12" s="36"/>
      <c r="K12" s="77">
        <f>SUM(K16:K59)</f>
        <v>0</v>
      </c>
      <c r="L12" s="94">
        <f>SUM(L16:L59)</f>
        <v>0</v>
      </c>
      <c r="M12" s="136"/>
      <c r="N12" s="35" t="s">
        <v>112</v>
      </c>
      <c r="O12" s="36"/>
      <c r="P12" s="77">
        <f>SUM(P16:P59)</f>
        <v>0</v>
      </c>
      <c r="Q12" s="94">
        <f>SUM(Q16:Q59)</f>
        <v>0</v>
      </c>
      <c r="R12" s="30"/>
    </row>
    <row r="13" spans="1:18" x14ac:dyDescent="0.2">
      <c r="A13" s="26"/>
      <c r="B13" s="26"/>
      <c r="C13" s="26"/>
      <c r="D13" s="253"/>
      <c r="E13" s="254"/>
      <c r="F13" s="254"/>
      <c r="G13" s="255"/>
      <c r="H13" s="136"/>
      <c r="I13" s="253"/>
      <c r="J13" s="254"/>
      <c r="K13" s="254"/>
      <c r="L13" s="255"/>
      <c r="M13" s="136"/>
      <c r="N13" s="253"/>
      <c r="O13" s="254"/>
      <c r="P13" s="254"/>
      <c r="Q13" s="255"/>
      <c r="R13" s="30"/>
    </row>
    <row r="14" spans="1:18" ht="15" customHeight="1" x14ac:dyDescent="0.2">
      <c r="A14" s="26"/>
      <c r="B14" s="26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49" t="s">
        <v>83</v>
      </c>
      <c r="J14" s="38" t="s">
        <v>16</v>
      </c>
      <c r="K14" s="39" t="s">
        <v>17</v>
      </c>
      <c r="L14" s="39" t="s">
        <v>215</v>
      </c>
      <c r="M14" s="26"/>
      <c r="N14" s="249" t="s">
        <v>83</v>
      </c>
      <c r="O14" s="38" t="s">
        <v>16</v>
      </c>
      <c r="P14" s="39" t="s">
        <v>17</v>
      </c>
      <c r="Q14" s="39" t="s">
        <v>215</v>
      </c>
      <c r="R14" s="26"/>
    </row>
    <row r="15" spans="1:18" x14ac:dyDescent="0.2">
      <c r="A15" s="26"/>
      <c r="B15" s="26"/>
      <c r="C15" s="26"/>
      <c r="D15" s="250"/>
      <c r="E15" s="252"/>
      <c r="F15" s="41" t="s">
        <v>18</v>
      </c>
      <c r="G15" s="41" t="s">
        <v>18</v>
      </c>
      <c r="H15" s="26"/>
      <c r="I15" s="250"/>
      <c r="J15" s="40"/>
      <c r="K15" s="41" t="s">
        <v>18</v>
      </c>
      <c r="L15" s="41" t="s">
        <v>18</v>
      </c>
      <c r="M15" s="26"/>
      <c r="N15" s="250"/>
      <c r="O15" s="40"/>
      <c r="P15" s="41" t="s">
        <v>18</v>
      </c>
      <c r="Q15" s="41" t="s">
        <v>18</v>
      </c>
      <c r="R15" s="26"/>
    </row>
    <row r="16" spans="1:18" x14ac:dyDescent="0.2">
      <c r="A16" s="26"/>
      <c r="B16" s="26"/>
      <c r="C16" s="26"/>
      <c r="D16" s="27">
        <v>1</v>
      </c>
      <c r="E16" s="26" t="s">
        <v>122</v>
      </c>
      <c r="F16" s="28">
        <v>6</v>
      </c>
      <c r="G16" s="28"/>
      <c r="H16" s="26"/>
      <c r="I16" s="27"/>
      <c r="J16" s="26"/>
      <c r="K16" s="28"/>
      <c r="L16" s="28"/>
      <c r="M16" s="26"/>
      <c r="N16" s="27"/>
      <c r="O16" s="26"/>
      <c r="P16" s="28"/>
      <c r="Q16" s="28"/>
      <c r="R16" s="26"/>
    </row>
    <row r="17" spans="1:18" x14ac:dyDescent="0.2">
      <c r="A17" s="26"/>
      <c r="B17" s="26"/>
      <c r="C17" s="26"/>
      <c r="D17" s="27">
        <v>2</v>
      </c>
      <c r="E17" s="26" t="s">
        <v>123</v>
      </c>
      <c r="F17" s="28">
        <v>4</v>
      </c>
      <c r="G17" s="28"/>
      <c r="H17" s="26"/>
      <c r="I17" s="27"/>
      <c r="J17" s="26"/>
      <c r="K17" s="28"/>
      <c r="L17" s="28"/>
      <c r="M17" s="26"/>
      <c r="N17" s="27"/>
      <c r="O17" s="26"/>
      <c r="P17" s="28"/>
      <c r="Q17" s="28"/>
      <c r="R17" s="26"/>
    </row>
    <row r="18" spans="1:18" x14ac:dyDescent="0.2">
      <c r="A18" s="26"/>
      <c r="B18" s="26"/>
      <c r="C18" s="26"/>
      <c r="D18" s="27">
        <v>3</v>
      </c>
      <c r="E18" s="26" t="s">
        <v>124</v>
      </c>
      <c r="F18" s="28">
        <v>4</v>
      </c>
      <c r="G18" s="28"/>
      <c r="H18" s="26"/>
      <c r="I18" s="27"/>
      <c r="J18" s="26"/>
      <c r="K18" s="28"/>
      <c r="L18" s="28"/>
      <c r="M18" s="26"/>
      <c r="N18" s="27"/>
      <c r="O18" s="26"/>
      <c r="P18" s="28"/>
      <c r="Q18" s="28"/>
      <c r="R18" s="26"/>
    </row>
    <row r="19" spans="1:18" x14ac:dyDescent="0.2">
      <c r="A19" s="26"/>
      <c r="B19" s="26"/>
      <c r="C19" s="26"/>
      <c r="D19" s="27">
        <v>4</v>
      </c>
      <c r="E19" s="26" t="s">
        <v>125</v>
      </c>
      <c r="F19" s="28">
        <v>4</v>
      </c>
      <c r="G19" s="28"/>
      <c r="H19" s="26"/>
      <c r="I19" s="27"/>
      <c r="J19" s="26"/>
      <c r="K19" s="28"/>
      <c r="L19" s="28"/>
      <c r="M19" s="26"/>
      <c r="N19" s="27"/>
      <c r="O19" s="26"/>
      <c r="P19" s="28"/>
      <c r="Q19" s="28"/>
      <c r="R19" s="26"/>
    </row>
    <row r="20" spans="1:18" x14ac:dyDescent="0.2">
      <c r="A20" s="26"/>
      <c r="B20" s="26"/>
      <c r="C20" s="26"/>
      <c r="D20" s="27"/>
      <c r="E20" s="26"/>
      <c r="F20" s="28"/>
      <c r="G20" s="28"/>
      <c r="H20" s="26"/>
      <c r="I20" s="27"/>
      <c r="J20" s="26"/>
      <c r="K20" s="28"/>
      <c r="L20" s="28"/>
      <c r="M20" s="26"/>
      <c r="N20" s="27"/>
      <c r="O20" s="26"/>
      <c r="P20" s="28"/>
      <c r="Q20" s="28"/>
      <c r="R20" s="26"/>
    </row>
    <row r="21" spans="1:18" x14ac:dyDescent="0.2">
      <c r="A21" s="26"/>
      <c r="B21" s="26"/>
      <c r="C21" s="26"/>
      <c r="D21" s="27">
        <v>5</v>
      </c>
      <c r="E21" s="26" t="s">
        <v>126</v>
      </c>
      <c r="F21" s="28">
        <v>4</v>
      </c>
      <c r="G21" s="28"/>
      <c r="H21" s="26"/>
      <c r="I21" s="27"/>
      <c r="J21" s="26"/>
      <c r="K21" s="28"/>
      <c r="L21" s="28"/>
      <c r="M21" s="26"/>
      <c r="N21" s="27"/>
      <c r="O21" s="26"/>
      <c r="P21" s="28"/>
      <c r="Q21" s="28"/>
      <c r="R21" s="26"/>
    </row>
    <row r="22" spans="1:18" x14ac:dyDescent="0.2">
      <c r="A22" s="26"/>
      <c r="B22" s="26"/>
      <c r="C22" s="26"/>
      <c r="D22" s="27">
        <v>6</v>
      </c>
      <c r="E22" s="26" t="s">
        <v>127</v>
      </c>
      <c r="F22" s="28">
        <v>4</v>
      </c>
      <c r="G22" s="28"/>
      <c r="H22" s="26"/>
      <c r="I22" s="27"/>
      <c r="J22" s="26"/>
      <c r="K22" s="28"/>
      <c r="L22" s="28"/>
      <c r="M22" s="26"/>
      <c r="N22" s="27"/>
      <c r="O22" s="26"/>
      <c r="P22" s="28"/>
      <c r="Q22" s="28"/>
      <c r="R22" s="26"/>
    </row>
    <row r="23" spans="1:18" x14ac:dyDescent="0.2">
      <c r="A23" s="26"/>
      <c r="B23" s="26"/>
      <c r="C23" s="26"/>
      <c r="D23" s="27">
        <v>7</v>
      </c>
      <c r="E23" s="26" t="s">
        <v>128</v>
      </c>
      <c r="F23" s="28">
        <v>4</v>
      </c>
      <c r="G23" s="28"/>
      <c r="H23" s="26"/>
      <c r="I23" s="27"/>
      <c r="J23" s="26"/>
      <c r="K23" s="28"/>
      <c r="L23" s="28"/>
      <c r="M23" s="26"/>
      <c r="N23" s="27"/>
      <c r="O23" s="26"/>
      <c r="P23" s="28"/>
      <c r="Q23" s="28"/>
      <c r="R23" s="26"/>
    </row>
    <row r="24" spans="1:18" x14ac:dyDescent="0.2">
      <c r="A24" s="26"/>
      <c r="B24" s="26"/>
      <c r="C24" s="26"/>
      <c r="D24" s="27">
        <v>8</v>
      </c>
      <c r="E24" s="26" t="s">
        <v>129</v>
      </c>
      <c r="F24" s="28">
        <v>4</v>
      </c>
      <c r="G24" s="28"/>
      <c r="H24" s="26"/>
      <c r="I24" s="27"/>
      <c r="J24" s="26"/>
      <c r="K24" s="28"/>
      <c r="L24" s="28"/>
      <c r="M24" s="26"/>
      <c r="N24" s="27"/>
      <c r="O24" s="26"/>
      <c r="P24" s="28"/>
      <c r="Q24" s="28"/>
      <c r="R24" s="26"/>
    </row>
    <row r="25" spans="1:18" x14ac:dyDescent="0.2">
      <c r="A25" s="26"/>
      <c r="B25" s="26"/>
      <c r="C25" s="26"/>
      <c r="D25" s="27"/>
      <c r="E25" s="26"/>
      <c r="F25" s="28"/>
      <c r="G25" s="28"/>
      <c r="H25" s="26"/>
      <c r="I25" s="27"/>
      <c r="J25" s="26"/>
      <c r="K25" s="28"/>
      <c r="L25" s="28"/>
      <c r="M25" s="26"/>
      <c r="N25" s="27"/>
      <c r="O25" s="26"/>
      <c r="P25" s="28"/>
      <c r="Q25" s="28"/>
      <c r="R25" s="26"/>
    </row>
    <row r="26" spans="1:18" x14ac:dyDescent="0.2">
      <c r="A26" s="26"/>
      <c r="B26" s="26"/>
      <c r="C26" s="26"/>
      <c r="D26" s="27">
        <v>9</v>
      </c>
      <c r="E26" s="26" t="s">
        <v>130</v>
      </c>
      <c r="F26" s="28">
        <v>4</v>
      </c>
      <c r="G26" s="28"/>
      <c r="H26" s="26"/>
      <c r="I26" s="27"/>
      <c r="J26" s="26"/>
      <c r="K26" s="28"/>
      <c r="L26" s="28"/>
      <c r="M26" s="26"/>
      <c r="N26" s="27"/>
      <c r="O26" s="26"/>
      <c r="P26" s="28"/>
      <c r="Q26" s="28"/>
      <c r="R26" s="26"/>
    </row>
    <row r="27" spans="1:18" x14ac:dyDescent="0.2">
      <c r="A27" s="26"/>
      <c r="B27" s="26"/>
      <c r="C27" s="26"/>
      <c r="D27" s="27">
        <v>10</v>
      </c>
      <c r="E27" s="26" t="s">
        <v>131</v>
      </c>
      <c r="F27" s="28">
        <v>4</v>
      </c>
      <c r="G27" s="28"/>
      <c r="H27" s="26"/>
      <c r="I27" s="27"/>
      <c r="J27" s="26"/>
      <c r="K27" s="28"/>
      <c r="L27" s="28"/>
      <c r="M27" s="26"/>
      <c r="N27" s="27"/>
      <c r="O27" s="26"/>
      <c r="P27" s="28"/>
      <c r="Q27" s="28"/>
      <c r="R27" s="26"/>
    </row>
    <row r="28" spans="1:18" x14ac:dyDescent="0.2">
      <c r="A28" s="26"/>
      <c r="B28" s="26"/>
      <c r="C28" s="26"/>
      <c r="D28" s="27">
        <v>11</v>
      </c>
      <c r="E28" s="26" t="s">
        <v>132</v>
      </c>
      <c r="F28" s="28">
        <v>4</v>
      </c>
      <c r="G28" s="28"/>
      <c r="H28" s="26"/>
      <c r="I28" s="27"/>
      <c r="J28" s="26"/>
      <c r="K28" s="28"/>
      <c r="L28" s="28"/>
      <c r="M28" s="26"/>
      <c r="N28" s="27"/>
      <c r="O28" s="26"/>
      <c r="P28" s="28"/>
      <c r="Q28" s="28"/>
      <c r="R28" s="26"/>
    </row>
    <row r="29" spans="1:18" x14ac:dyDescent="0.2">
      <c r="A29" s="26"/>
      <c r="B29" s="26"/>
      <c r="C29" s="26"/>
      <c r="D29" s="27">
        <v>12</v>
      </c>
      <c r="E29" s="26" t="s">
        <v>133</v>
      </c>
      <c r="F29" s="28">
        <v>4</v>
      </c>
      <c r="G29" s="28"/>
      <c r="H29" s="26"/>
      <c r="I29" s="27"/>
      <c r="J29" s="26"/>
      <c r="K29" s="28"/>
      <c r="L29" s="28"/>
      <c r="M29" s="26"/>
      <c r="N29" s="27"/>
      <c r="O29" s="26"/>
      <c r="P29" s="28"/>
      <c r="Q29" s="28"/>
      <c r="R29" s="26"/>
    </row>
    <row r="30" spans="1:18" x14ac:dyDescent="0.2">
      <c r="A30" s="26"/>
      <c r="B30" s="26"/>
      <c r="C30" s="26"/>
      <c r="D30" s="27"/>
      <c r="E30" s="26"/>
      <c r="F30" s="28"/>
      <c r="G30" s="28"/>
      <c r="H30" s="26"/>
      <c r="I30" s="27"/>
      <c r="J30" s="26"/>
      <c r="K30" s="28"/>
      <c r="L30" s="28"/>
      <c r="M30" s="26"/>
      <c r="N30" s="27"/>
      <c r="O30" s="26"/>
      <c r="P30" s="28"/>
      <c r="Q30" s="28"/>
      <c r="R30" s="26"/>
    </row>
    <row r="31" spans="1:18" x14ac:dyDescent="0.2">
      <c r="A31" s="26"/>
      <c r="B31" s="26"/>
      <c r="C31" s="26"/>
      <c r="D31" s="27">
        <v>13</v>
      </c>
      <c r="E31" s="26" t="s">
        <v>134</v>
      </c>
      <c r="F31" s="28">
        <v>4</v>
      </c>
      <c r="G31" s="28"/>
      <c r="H31" s="26"/>
      <c r="I31" s="27"/>
      <c r="J31" s="26"/>
      <c r="K31" s="28"/>
      <c r="L31" s="28"/>
      <c r="M31" s="26"/>
      <c r="N31" s="27"/>
      <c r="O31" s="26"/>
      <c r="P31" s="28"/>
      <c r="Q31" s="28"/>
      <c r="R31" s="26"/>
    </row>
    <row r="32" spans="1:18" x14ac:dyDescent="0.2">
      <c r="A32" s="26"/>
      <c r="B32" s="26"/>
      <c r="C32" s="26"/>
      <c r="D32" s="27">
        <v>14</v>
      </c>
      <c r="E32" s="26" t="s">
        <v>135</v>
      </c>
      <c r="F32" s="28">
        <v>4</v>
      </c>
      <c r="G32" s="28"/>
      <c r="H32" s="26"/>
      <c r="I32" s="27"/>
      <c r="J32" s="26"/>
      <c r="K32" s="28"/>
      <c r="L32" s="28"/>
      <c r="M32" s="26"/>
      <c r="N32" s="27"/>
      <c r="O32" s="26"/>
      <c r="P32" s="28"/>
      <c r="Q32" s="28"/>
      <c r="R32" s="26"/>
    </row>
    <row r="33" spans="1:18" x14ac:dyDescent="0.2">
      <c r="A33" s="26"/>
      <c r="B33" s="26"/>
      <c r="C33" s="26"/>
      <c r="D33" s="27">
        <v>15</v>
      </c>
      <c r="E33" s="26" t="s">
        <v>136</v>
      </c>
      <c r="F33" s="28">
        <v>4</v>
      </c>
      <c r="G33" s="28"/>
      <c r="H33" s="26"/>
      <c r="I33" s="27"/>
      <c r="J33" s="26"/>
      <c r="K33" s="28"/>
      <c r="L33" s="28"/>
      <c r="M33" s="26"/>
      <c r="N33" s="27"/>
      <c r="O33" s="26"/>
      <c r="P33" s="28"/>
      <c r="Q33" s="28"/>
      <c r="R33" s="26"/>
    </row>
    <row r="34" spans="1:18" x14ac:dyDescent="0.2">
      <c r="A34" s="26"/>
      <c r="B34" s="26"/>
      <c r="C34" s="26"/>
      <c r="D34" s="27">
        <v>16</v>
      </c>
      <c r="E34" s="26" t="s">
        <v>137</v>
      </c>
      <c r="F34" s="28">
        <v>4</v>
      </c>
      <c r="G34" s="28"/>
      <c r="H34" s="26"/>
      <c r="I34" s="27"/>
      <c r="J34" s="26"/>
      <c r="K34" s="28"/>
      <c r="L34" s="28"/>
      <c r="M34" s="26"/>
      <c r="N34" s="27"/>
      <c r="O34" s="26"/>
      <c r="P34" s="28"/>
      <c r="Q34" s="28"/>
      <c r="R34" s="26"/>
    </row>
    <row r="35" spans="1:18" x14ac:dyDescent="0.2">
      <c r="A35" s="26"/>
      <c r="B35" s="26"/>
      <c r="C35" s="26"/>
      <c r="D35" s="27"/>
      <c r="E35" s="26"/>
      <c r="F35" s="28"/>
      <c r="G35" s="28"/>
      <c r="H35" s="26"/>
      <c r="I35" s="27"/>
      <c r="J35" s="26"/>
      <c r="K35" s="28"/>
      <c r="L35" s="28"/>
      <c r="M35" s="26"/>
      <c r="N35" s="27"/>
      <c r="O35" s="26"/>
      <c r="P35" s="28"/>
      <c r="Q35" s="28"/>
      <c r="R35" s="26"/>
    </row>
    <row r="36" spans="1:18" x14ac:dyDescent="0.2">
      <c r="A36" s="26"/>
      <c r="B36" s="26"/>
      <c r="C36" s="26"/>
      <c r="D36" s="27">
        <v>17</v>
      </c>
      <c r="E36" s="26" t="s">
        <v>138</v>
      </c>
      <c r="F36" s="28">
        <v>12</v>
      </c>
      <c r="G36" s="28"/>
      <c r="H36" s="26"/>
      <c r="I36" s="27"/>
      <c r="J36" s="26"/>
      <c r="K36" s="28"/>
      <c r="L36" s="28"/>
      <c r="M36" s="26"/>
      <c r="N36" s="27"/>
      <c r="O36" s="26"/>
      <c r="P36" s="28"/>
      <c r="Q36" s="28"/>
      <c r="R36" s="26"/>
    </row>
    <row r="37" spans="1:18" x14ac:dyDescent="0.2">
      <c r="A37" s="26"/>
      <c r="B37" s="26"/>
      <c r="C37" s="26"/>
      <c r="D37" s="27"/>
      <c r="E37" s="26"/>
      <c r="F37" s="28"/>
      <c r="G37" s="28"/>
      <c r="H37" s="26"/>
      <c r="I37" s="27"/>
      <c r="J37" s="26"/>
      <c r="K37" s="28"/>
      <c r="L37" s="28"/>
      <c r="M37" s="26"/>
      <c r="N37" s="27"/>
      <c r="O37" s="26"/>
      <c r="P37" s="28"/>
      <c r="Q37" s="28"/>
      <c r="R37" s="26"/>
    </row>
    <row r="38" spans="1:18" x14ac:dyDescent="0.2">
      <c r="A38" s="26"/>
      <c r="B38" s="26"/>
      <c r="C38" s="26"/>
      <c r="D38" s="27"/>
      <c r="E38" s="26"/>
      <c r="F38" s="28"/>
      <c r="G38" s="28"/>
      <c r="H38" s="26"/>
      <c r="I38" s="27"/>
      <c r="J38" s="26"/>
      <c r="K38" s="28"/>
      <c r="L38" s="28"/>
      <c r="M38" s="26"/>
      <c r="N38" s="27"/>
      <c r="O38" s="26"/>
      <c r="P38" s="28"/>
      <c r="Q38" s="28"/>
      <c r="R38" s="26"/>
    </row>
    <row r="39" spans="1:18" x14ac:dyDescent="0.2">
      <c r="A39" s="26"/>
      <c r="B39" s="26"/>
      <c r="C39" s="26"/>
      <c r="D39" s="27"/>
      <c r="E39" s="26"/>
      <c r="F39" s="28"/>
      <c r="G39" s="28"/>
      <c r="H39" s="26"/>
      <c r="I39" s="27"/>
      <c r="J39" s="26"/>
      <c r="K39" s="28"/>
      <c r="L39" s="28"/>
      <c r="M39" s="26"/>
      <c r="N39" s="27"/>
      <c r="O39" s="26"/>
      <c r="P39" s="28"/>
      <c r="Q39" s="28"/>
      <c r="R39" s="26"/>
    </row>
    <row r="40" spans="1:18" x14ac:dyDescent="0.2">
      <c r="A40" s="26"/>
      <c r="B40" s="26"/>
      <c r="C40" s="26"/>
      <c r="D40" s="27"/>
      <c r="E40" s="26"/>
      <c r="F40" s="28"/>
      <c r="G40" s="28"/>
      <c r="H40" s="26"/>
      <c r="I40" s="27"/>
      <c r="J40" s="26"/>
      <c r="K40" s="28"/>
      <c r="L40" s="28"/>
      <c r="M40" s="26"/>
      <c r="N40" s="27"/>
      <c r="O40" s="26"/>
      <c r="P40" s="28"/>
      <c r="Q40" s="28"/>
      <c r="R40" s="26"/>
    </row>
    <row r="41" spans="1:18" x14ac:dyDescent="0.2">
      <c r="A41" s="26"/>
      <c r="B41" s="26"/>
      <c r="C41" s="26"/>
      <c r="D41" s="27"/>
      <c r="E41" s="26"/>
      <c r="F41" s="28"/>
      <c r="G41" s="28"/>
      <c r="H41" s="26"/>
      <c r="I41" s="27"/>
      <c r="J41" s="26"/>
      <c r="K41" s="28"/>
      <c r="L41" s="28"/>
      <c r="M41" s="26"/>
      <c r="N41" s="27"/>
      <c r="O41" s="26"/>
      <c r="P41" s="28"/>
      <c r="Q41" s="28"/>
      <c r="R41" s="26"/>
    </row>
    <row r="42" spans="1:18" x14ac:dyDescent="0.2">
      <c r="A42" s="26"/>
      <c r="B42" s="26"/>
      <c r="C42" s="26"/>
      <c r="D42" s="27"/>
      <c r="E42" s="26"/>
      <c r="F42" s="28"/>
      <c r="G42" s="28"/>
      <c r="H42" s="26"/>
      <c r="I42" s="27"/>
      <c r="J42" s="26"/>
      <c r="K42" s="28"/>
      <c r="L42" s="28"/>
      <c r="M42" s="26"/>
      <c r="N42" s="27"/>
      <c r="O42" s="26"/>
      <c r="P42" s="28"/>
      <c r="Q42" s="28"/>
      <c r="R42" s="26"/>
    </row>
    <row r="43" spans="1:18" x14ac:dyDescent="0.2">
      <c r="A43" s="26"/>
      <c r="B43" s="26"/>
      <c r="C43" s="26"/>
      <c r="D43" s="27"/>
      <c r="E43" s="26"/>
      <c r="F43" s="28"/>
      <c r="G43" s="28"/>
      <c r="H43" s="26"/>
      <c r="I43" s="27"/>
      <c r="J43" s="26"/>
      <c r="K43" s="28"/>
      <c r="L43" s="28"/>
      <c r="M43" s="26"/>
      <c r="N43" s="27"/>
      <c r="O43" s="26"/>
      <c r="P43" s="28"/>
      <c r="Q43" s="28"/>
      <c r="R43" s="26"/>
    </row>
    <row r="44" spans="1:18" x14ac:dyDescent="0.2">
      <c r="A44" s="26"/>
      <c r="B44" s="26"/>
      <c r="C44" s="26"/>
      <c r="D44" s="27"/>
      <c r="E44" s="26"/>
      <c r="F44" s="28"/>
      <c r="G44" s="28"/>
      <c r="H44" s="26"/>
      <c r="I44" s="27"/>
      <c r="J44" s="26"/>
      <c r="K44" s="28"/>
      <c r="L44" s="28"/>
      <c r="M44" s="26"/>
      <c r="N44" s="27"/>
      <c r="O44" s="26"/>
      <c r="P44" s="28"/>
      <c r="Q44" s="28"/>
      <c r="R44" s="26"/>
    </row>
    <row r="45" spans="1:18" x14ac:dyDescent="0.2">
      <c r="A45" s="26"/>
      <c r="B45" s="26"/>
      <c r="C45" s="26"/>
      <c r="D45" s="27"/>
      <c r="E45" s="26"/>
      <c r="F45" s="28"/>
      <c r="G45" s="28"/>
      <c r="H45" s="26"/>
      <c r="I45" s="27"/>
      <c r="J45" s="26"/>
      <c r="K45" s="28"/>
      <c r="L45" s="28"/>
      <c r="M45" s="26"/>
      <c r="N45" s="27"/>
      <c r="O45" s="26"/>
      <c r="P45" s="28"/>
      <c r="Q45" s="28"/>
      <c r="R45" s="26"/>
    </row>
    <row r="46" spans="1:18" x14ac:dyDescent="0.2">
      <c r="A46" s="26"/>
      <c r="B46" s="26"/>
      <c r="C46" s="26"/>
      <c r="D46" s="27"/>
      <c r="E46" s="26"/>
      <c r="F46" s="28"/>
      <c r="G46" s="28"/>
      <c r="H46" s="26"/>
      <c r="I46" s="27"/>
      <c r="J46" s="26"/>
      <c r="K46" s="28"/>
      <c r="L46" s="28"/>
      <c r="M46" s="26"/>
      <c r="N46" s="27"/>
      <c r="O46" s="26"/>
      <c r="P46" s="28"/>
      <c r="Q46" s="28"/>
      <c r="R46" s="26"/>
    </row>
    <row r="47" spans="1:18" x14ac:dyDescent="0.2">
      <c r="A47" s="26"/>
      <c r="B47" s="26"/>
      <c r="C47" s="26"/>
      <c r="D47" s="27"/>
      <c r="E47" s="26"/>
      <c r="F47" s="28"/>
      <c r="G47" s="28"/>
      <c r="H47" s="26"/>
      <c r="I47" s="27"/>
      <c r="J47" s="26"/>
      <c r="K47" s="28"/>
      <c r="L47" s="28"/>
      <c r="M47" s="26"/>
      <c r="N47" s="27"/>
      <c r="O47" s="26"/>
      <c r="P47" s="28"/>
      <c r="Q47" s="28"/>
      <c r="R47" s="26"/>
    </row>
    <row r="48" spans="1:18" x14ac:dyDescent="0.2">
      <c r="A48" s="26"/>
      <c r="B48" s="26"/>
      <c r="C48" s="26"/>
      <c r="D48" s="27"/>
      <c r="E48" s="26"/>
      <c r="F48" s="28"/>
      <c r="G48" s="28"/>
      <c r="H48" s="26"/>
      <c r="I48" s="27"/>
      <c r="J48" s="26"/>
      <c r="K48" s="28"/>
      <c r="L48" s="28"/>
      <c r="M48" s="26"/>
      <c r="N48" s="27"/>
      <c r="O48" s="26"/>
      <c r="P48" s="28"/>
      <c r="Q48" s="28"/>
      <c r="R48" s="26"/>
    </row>
    <row r="49" spans="1:18" x14ac:dyDescent="0.2">
      <c r="A49" s="26"/>
      <c r="B49" s="26"/>
      <c r="C49" s="26"/>
      <c r="D49" s="27"/>
      <c r="E49" s="26"/>
      <c r="F49" s="28"/>
      <c r="G49" s="28"/>
      <c r="H49" s="26"/>
      <c r="I49" s="27"/>
      <c r="J49" s="26"/>
      <c r="K49" s="28"/>
      <c r="L49" s="28"/>
      <c r="M49" s="26"/>
      <c r="N49" s="27"/>
      <c r="O49" s="26"/>
      <c r="P49" s="28"/>
      <c r="Q49" s="28"/>
      <c r="R49" s="26"/>
    </row>
    <row r="50" spans="1:18" x14ac:dyDescent="0.2">
      <c r="A50" s="26"/>
      <c r="B50" s="26"/>
      <c r="C50" s="26"/>
      <c r="D50" s="27"/>
      <c r="E50" s="26"/>
      <c r="F50" s="28"/>
      <c r="G50" s="28"/>
      <c r="H50" s="26"/>
      <c r="I50" s="27"/>
      <c r="J50" s="26"/>
      <c r="K50" s="28"/>
      <c r="L50" s="28"/>
      <c r="M50" s="26"/>
      <c r="N50" s="27"/>
      <c r="O50" s="26"/>
      <c r="P50" s="28"/>
      <c r="Q50" s="28"/>
      <c r="R50" s="26"/>
    </row>
    <row r="51" spans="1:18" x14ac:dyDescent="0.2">
      <c r="A51" s="26"/>
      <c r="B51" s="26"/>
      <c r="C51" s="26"/>
      <c r="D51" s="27"/>
      <c r="E51" s="26"/>
      <c r="F51" s="28"/>
      <c r="G51" s="28"/>
      <c r="H51" s="26"/>
      <c r="I51" s="27"/>
      <c r="J51" s="26"/>
      <c r="K51" s="28"/>
      <c r="L51" s="28"/>
      <c r="M51" s="26"/>
      <c r="N51" s="27"/>
      <c r="O51" s="26"/>
      <c r="P51" s="28"/>
      <c r="Q51" s="28"/>
      <c r="R51" s="26"/>
    </row>
    <row r="52" spans="1:18" x14ac:dyDescent="0.2">
      <c r="A52" s="26"/>
      <c r="B52" s="26"/>
      <c r="C52" s="26"/>
      <c r="D52" s="27"/>
      <c r="E52" s="26"/>
      <c r="F52" s="28"/>
      <c r="G52" s="28"/>
      <c r="H52" s="26"/>
      <c r="I52" s="27"/>
      <c r="J52" s="26"/>
      <c r="K52" s="28"/>
      <c r="L52" s="28"/>
      <c r="M52" s="26"/>
      <c r="N52" s="27"/>
      <c r="O52" s="26"/>
      <c r="P52" s="28"/>
      <c r="Q52" s="28"/>
      <c r="R52" s="26"/>
    </row>
    <row r="53" spans="1:18" x14ac:dyDescent="0.2">
      <c r="A53" s="26"/>
      <c r="B53" s="26"/>
      <c r="C53" s="26"/>
      <c r="D53" s="27"/>
      <c r="E53" s="26"/>
      <c r="F53" s="28"/>
      <c r="G53" s="28"/>
      <c r="H53" s="26"/>
      <c r="I53" s="27"/>
      <c r="J53" s="26"/>
      <c r="K53" s="28"/>
      <c r="L53" s="28"/>
      <c r="M53" s="26"/>
      <c r="N53" s="27"/>
      <c r="O53" s="26"/>
      <c r="P53" s="28"/>
      <c r="Q53" s="28"/>
      <c r="R53" s="26"/>
    </row>
    <row r="54" spans="1:18" x14ac:dyDescent="0.2">
      <c r="A54" s="26"/>
      <c r="B54" s="26"/>
      <c r="C54" s="26"/>
      <c r="D54" s="27"/>
      <c r="E54" s="26"/>
      <c r="F54" s="28"/>
      <c r="G54" s="28"/>
      <c r="H54" s="26"/>
      <c r="I54" s="27"/>
      <c r="J54" s="26"/>
      <c r="K54" s="28"/>
      <c r="L54" s="28"/>
      <c r="M54" s="26"/>
      <c r="N54" s="27"/>
      <c r="O54" s="26"/>
      <c r="P54" s="28"/>
      <c r="Q54" s="28"/>
      <c r="R54" s="26"/>
    </row>
    <row r="55" spans="1:18" x14ac:dyDescent="0.2">
      <c r="A55" s="26"/>
      <c r="B55" s="26"/>
      <c r="C55" s="26"/>
      <c r="D55" s="27"/>
      <c r="E55" s="26"/>
      <c r="F55" s="28"/>
      <c r="G55" s="28"/>
      <c r="H55" s="26"/>
      <c r="I55" s="27"/>
      <c r="J55" s="26"/>
      <c r="K55" s="28"/>
      <c r="L55" s="28"/>
      <c r="M55" s="26"/>
      <c r="N55" s="27"/>
      <c r="O55" s="26"/>
      <c r="P55" s="28"/>
      <c r="Q55" s="28"/>
      <c r="R55" s="26"/>
    </row>
    <row r="56" spans="1:18" x14ac:dyDescent="0.2">
      <c r="A56" s="26"/>
      <c r="B56" s="26"/>
      <c r="C56" s="26"/>
      <c r="D56" s="27"/>
      <c r="E56" s="26"/>
      <c r="F56" s="28"/>
      <c r="G56" s="28"/>
      <c r="H56" s="26"/>
      <c r="I56" s="27"/>
      <c r="J56" s="26"/>
      <c r="K56" s="28"/>
      <c r="L56" s="28"/>
      <c r="M56" s="26"/>
      <c r="N56" s="27"/>
      <c r="O56" s="26"/>
      <c r="P56" s="28"/>
      <c r="Q56" s="28"/>
      <c r="R56" s="26"/>
    </row>
    <row r="57" spans="1:18" x14ac:dyDescent="0.2">
      <c r="A57" s="26"/>
      <c r="B57" s="26"/>
      <c r="C57" s="26"/>
      <c r="D57" s="27"/>
      <c r="E57" s="26"/>
      <c r="F57" s="28"/>
      <c r="G57" s="28"/>
      <c r="H57" s="26"/>
      <c r="I57" s="27"/>
      <c r="J57" s="26"/>
      <c r="K57" s="28"/>
      <c r="L57" s="28"/>
      <c r="M57" s="26"/>
      <c r="N57" s="27"/>
      <c r="O57" s="26"/>
      <c r="P57" s="28"/>
      <c r="Q57" s="28"/>
      <c r="R57" s="26"/>
    </row>
    <row r="58" spans="1:18" x14ac:dyDescent="0.2">
      <c r="A58" s="26"/>
      <c r="B58" s="26"/>
      <c r="C58" s="26"/>
      <c r="D58" s="27"/>
      <c r="E58" s="26"/>
      <c r="F58" s="28"/>
      <c r="G58" s="28"/>
      <c r="H58" s="26"/>
      <c r="I58" s="27"/>
      <c r="J58" s="26"/>
      <c r="K58" s="28"/>
      <c r="L58" s="28"/>
      <c r="M58" s="26"/>
      <c r="N58" s="27"/>
      <c r="O58" s="26"/>
      <c r="P58" s="28"/>
      <c r="Q58" s="28"/>
      <c r="R58" s="26"/>
    </row>
    <row r="59" spans="1:18" x14ac:dyDescent="0.2">
      <c r="A59" s="26"/>
      <c r="B59" s="26"/>
      <c r="C59" s="26"/>
      <c r="D59" s="27"/>
      <c r="E59" s="26"/>
      <c r="F59" s="28"/>
      <c r="G59" s="28"/>
      <c r="H59" s="26"/>
      <c r="I59" s="27"/>
      <c r="J59" s="26"/>
      <c r="K59" s="28"/>
      <c r="L59" s="28"/>
      <c r="M59" s="26"/>
      <c r="N59" s="27"/>
      <c r="O59" s="26"/>
      <c r="P59" s="28"/>
      <c r="Q59" s="28"/>
      <c r="R59" s="26"/>
    </row>
    <row r="60" spans="1:18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</row>
    <row r="61" spans="1:18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</row>
    <row r="62" spans="1:18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</row>
    <row r="63" spans="1:18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</row>
  </sheetData>
  <mergeCells count="8">
    <mergeCell ref="A2:A3"/>
    <mergeCell ref="D13:G13"/>
    <mergeCell ref="I13:L13"/>
    <mergeCell ref="N13:Q13"/>
    <mergeCell ref="D14:D15"/>
    <mergeCell ref="E14:E15"/>
    <mergeCell ref="I14:I15"/>
    <mergeCell ref="N14:N1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C416B-A92C-4115-B3E9-7B08E076FFCE}">
  <sheetPr codeName="Sheet10"/>
  <dimension ref="A1:W35"/>
  <sheetViews>
    <sheetView workbookViewId="0">
      <selection activeCell="B8" sqref="B8:C12"/>
    </sheetView>
  </sheetViews>
  <sheetFormatPr baseColWidth="10" defaultColWidth="8.83203125" defaultRowHeight="15" x14ac:dyDescent="0.2"/>
  <cols>
    <col min="2" max="2" width="30.1640625" bestFit="1" customWidth="1"/>
    <col min="4" max="4" width="22.5" bestFit="1" customWidth="1"/>
    <col min="5" max="5" width="34.83203125" bestFit="1" customWidth="1"/>
    <col min="7" max="7" width="12" bestFit="1" customWidth="1"/>
    <col min="8" max="12" width="9.6640625" customWidth="1"/>
    <col min="13" max="13" width="15.33203125" bestFit="1" customWidth="1"/>
    <col min="14" max="14" width="14.33203125" bestFit="1" customWidth="1"/>
    <col min="15" max="15" width="11.33203125" customWidth="1"/>
    <col min="16" max="16" width="12" bestFit="1" customWidth="1"/>
    <col min="17" max="17" width="9.5" bestFit="1" customWidth="1"/>
    <col min="19" max="19" width="14.33203125" bestFit="1" customWidth="1"/>
    <col min="20" max="20" width="15.33203125" bestFit="1" customWidth="1"/>
    <col min="21" max="21" width="14.33203125" bestFit="1" customWidth="1"/>
  </cols>
  <sheetData>
    <row r="1" spans="1:23" x14ac:dyDescent="0.2">
      <c r="A1" s="26"/>
      <c r="B1" s="87" t="s">
        <v>28</v>
      </c>
      <c r="C1" s="56"/>
      <c r="D1" s="56"/>
      <c r="E1" s="57">
        <f ca="1">OFFSET('Unit Cell Details'!$F$23,0,('Cost Estimation'!$S$5-1)*8)</f>
        <v>8</v>
      </c>
      <c r="F1" s="58" t="s">
        <v>56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</row>
    <row r="2" spans="1:23" x14ac:dyDescent="0.2">
      <c r="A2" s="26"/>
      <c r="B2" s="85"/>
      <c r="C2" s="86" t="s">
        <v>208</v>
      </c>
      <c r="D2" s="86"/>
      <c r="E2" s="26">
        <f ca="1">OFFSET('Unit Cell Details'!$F$24,0,('Cost Estimation'!$S$5-1)*8)</f>
        <v>1250000</v>
      </c>
      <c r="F2" s="29" t="s">
        <v>80</v>
      </c>
      <c r="G2" s="26"/>
      <c r="H2" s="26"/>
      <c r="I2" s="26"/>
      <c r="J2" s="147" t="s">
        <v>55</v>
      </c>
      <c r="K2" s="26"/>
      <c r="L2" s="148" t="s">
        <v>303</v>
      </c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</row>
    <row r="3" spans="1:23" x14ac:dyDescent="0.2">
      <c r="A3" s="26"/>
      <c r="B3" s="230" t="s">
        <v>73</v>
      </c>
      <c r="C3" s="23" t="s">
        <v>61</v>
      </c>
      <c r="D3" s="23"/>
      <c r="E3" s="57">
        <f ca="1">OFFSET('Unit Cell Details'!$F$25,0,('Cost Estimation'!$S$5-1)*8)</f>
        <v>135</v>
      </c>
      <c r="F3" s="58" t="s">
        <v>57</v>
      </c>
      <c r="G3" s="236" t="s">
        <v>260</v>
      </c>
      <c r="H3" s="236"/>
      <c r="I3" s="236"/>
      <c r="J3" s="26">
        <f ca="1">OFFSET('Unit Cell Details'!$D$52,0,('Cost Estimation'!$S$5-1)*8)</f>
        <v>100</v>
      </c>
      <c r="K3" s="26" t="s">
        <v>262</v>
      </c>
      <c r="L3" s="26">
        <f ca="1">OFFSET('Unit Cell Details'!$F$52,0,('Cost Estimation'!$S$5-1)*8)</f>
        <v>20.5</v>
      </c>
      <c r="M3" s="26" t="s">
        <v>261</v>
      </c>
      <c r="N3" s="147" t="s">
        <v>305</v>
      </c>
      <c r="O3" s="26"/>
      <c r="P3" s="26"/>
      <c r="Q3" s="26"/>
      <c r="R3" s="26"/>
      <c r="S3" s="26"/>
      <c r="T3" s="26"/>
      <c r="U3" s="26"/>
      <c r="V3" s="26"/>
      <c r="W3" s="26"/>
    </row>
    <row r="4" spans="1:23" x14ac:dyDescent="0.2">
      <c r="A4" s="26"/>
      <c r="B4" s="231"/>
      <c r="C4" s="23" t="s">
        <v>79</v>
      </c>
      <c r="D4" s="23"/>
      <c r="E4" s="62">
        <f ca="1">OFFSET('Unit Cell Details'!$F$26,0,('Cost Estimation'!$S$5-1)*8)</f>
        <v>362.67750000000001</v>
      </c>
      <c r="F4" s="29" t="s">
        <v>78</v>
      </c>
      <c r="G4" s="236" t="s">
        <v>257</v>
      </c>
      <c r="H4" s="236"/>
      <c r="I4" s="236"/>
      <c r="J4" s="26">
        <f ca="1">OFFSET('Unit Cell Details'!$D$53,0,('Cost Estimation'!$S$5-1)*8)</f>
        <v>80</v>
      </c>
      <c r="K4" s="26" t="s">
        <v>262</v>
      </c>
      <c r="L4" s="26">
        <f ca="1">OFFSET('Unit Cell Details'!$F$53,0,('Cost Estimation'!$S$5-1)*8)</f>
        <v>16.400000000000002</v>
      </c>
      <c r="M4" s="26" t="s">
        <v>261</v>
      </c>
      <c r="N4" s="25">
        <f ca="1">L4*$H$18*G18</f>
        <v>393.6</v>
      </c>
      <c r="O4" s="26"/>
      <c r="P4" s="26"/>
      <c r="Q4" s="26"/>
      <c r="R4" s="26"/>
      <c r="S4" s="26"/>
      <c r="T4" s="26"/>
      <c r="U4" s="26"/>
      <c r="V4" s="26"/>
      <c r="W4" s="26"/>
    </row>
    <row r="5" spans="1:23" x14ac:dyDescent="0.2">
      <c r="A5" s="26"/>
      <c r="B5" s="231"/>
      <c r="C5" s="23" t="s">
        <v>59</v>
      </c>
      <c r="D5" s="23"/>
      <c r="E5" s="26">
        <f ca="1">OFFSET('Unit Cell Details'!$F$27,0,('Cost Estimation'!$S$5-1)*8)</f>
        <v>80</v>
      </c>
      <c r="F5" s="29" t="s">
        <v>55</v>
      </c>
      <c r="G5" s="236" t="s">
        <v>258</v>
      </c>
      <c r="H5" s="236"/>
      <c r="I5" s="236"/>
      <c r="J5" s="26">
        <f ca="1">OFFSET('Unit Cell Details'!$D$54,0,('Cost Estimation'!$S$5-1)*8)</f>
        <v>70</v>
      </c>
      <c r="K5" s="26" t="s">
        <v>262</v>
      </c>
      <c r="L5" s="26">
        <f ca="1">OFFSET('Unit Cell Details'!$F$54,0,('Cost Estimation'!$S$5-1)*8)</f>
        <v>14.35</v>
      </c>
      <c r="M5" s="26" t="s">
        <v>261</v>
      </c>
      <c r="N5" s="25">
        <f ca="1">L5*$H$18*G18</f>
        <v>344.4</v>
      </c>
      <c r="O5" s="26"/>
      <c r="P5" s="26"/>
      <c r="Q5" s="26" t="s">
        <v>210</v>
      </c>
      <c r="R5" s="26"/>
      <c r="S5" s="79">
        <f>Main!B5</f>
        <v>2</v>
      </c>
      <c r="T5" s="26"/>
      <c r="U5" s="26"/>
      <c r="V5" s="26"/>
      <c r="W5" s="26"/>
    </row>
    <row r="6" spans="1:23" x14ac:dyDescent="0.2">
      <c r="A6" s="26"/>
      <c r="B6" s="231"/>
      <c r="C6" s="23" t="s">
        <v>60</v>
      </c>
      <c r="D6" s="23"/>
      <c r="E6" s="26">
        <f ca="1">OFFSET('Unit Cell Details'!$F$28,0,('Cost Estimation'!$S$5-1)*8)</f>
        <v>24</v>
      </c>
      <c r="F6" s="29" t="s">
        <v>56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 t="s">
        <v>209</v>
      </c>
      <c r="R6" s="26"/>
      <c r="S6" s="79">
        <f>Main!F7</f>
        <v>1</v>
      </c>
      <c r="T6" s="26"/>
      <c r="U6" s="26"/>
      <c r="V6" s="26"/>
      <c r="W6" s="26"/>
    </row>
    <row r="7" spans="1:23" x14ac:dyDescent="0.2">
      <c r="A7" s="26"/>
      <c r="B7" s="232"/>
      <c r="C7" s="23"/>
      <c r="D7" s="23"/>
      <c r="E7" s="62"/>
      <c r="F7" s="29"/>
      <c r="G7" s="26"/>
      <c r="H7" s="26"/>
      <c r="I7" s="26"/>
      <c r="J7" s="26"/>
      <c r="K7" s="26"/>
      <c r="L7" s="148" t="s">
        <v>302</v>
      </c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</row>
    <row r="8" spans="1:23" x14ac:dyDescent="0.2">
      <c r="A8" s="26"/>
      <c r="B8" s="230" t="s">
        <v>58</v>
      </c>
      <c r="C8" s="56" t="s">
        <v>61</v>
      </c>
      <c r="D8" s="56"/>
      <c r="E8" s="57"/>
      <c r="F8" s="58"/>
      <c r="G8" s="236" t="s">
        <v>259</v>
      </c>
      <c r="H8" s="236"/>
      <c r="I8" s="236"/>
      <c r="J8" s="26">
        <f ca="1">OFFSET('Unit Cell Details'!$D$55,0,('Cost Estimation'!$S$5-1)*8)</f>
        <v>735</v>
      </c>
      <c r="K8" s="26" t="s">
        <v>262</v>
      </c>
      <c r="L8" s="26">
        <f ca="1">OFFSET('Unit Cell Details'!$F$55,0,('Cost Estimation'!$S$5-1)*8)</f>
        <v>13.5</v>
      </c>
      <c r="M8" s="26" t="s">
        <v>261</v>
      </c>
      <c r="O8" s="26"/>
      <c r="P8" s="26"/>
      <c r="Q8" s="26"/>
      <c r="R8" s="26"/>
      <c r="S8" s="26"/>
      <c r="T8" s="26"/>
      <c r="U8" s="26"/>
      <c r="V8" s="26"/>
      <c r="W8" s="26"/>
    </row>
    <row r="9" spans="1:23" x14ac:dyDescent="0.2">
      <c r="A9" s="26"/>
      <c r="B9" s="231"/>
      <c r="C9" s="88" t="s">
        <v>204</v>
      </c>
      <c r="D9" s="23"/>
      <c r="E9" s="26">
        <f ca="1">OFFSET('Unit Cell Details'!$F$31,0,('Cost Estimation'!$S$5-1)*8)</f>
        <v>1250</v>
      </c>
      <c r="F9" s="29" t="s">
        <v>205</v>
      </c>
      <c r="G9" s="26"/>
      <c r="H9" s="26"/>
      <c r="I9" s="26"/>
      <c r="J9" s="147" t="s">
        <v>55</v>
      </c>
      <c r="K9" s="148"/>
      <c r="L9" s="148" t="s">
        <v>301</v>
      </c>
      <c r="M9" s="256" t="s">
        <v>304</v>
      </c>
      <c r="N9" s="256"/>
      <c r="O9" s="147" t="s">
        <v>300</v>
      </c>
      <c r="P9" s="147" t="s">
        <v>305</v>
      </c>
      <c r="Q9" s="26"/>
      <c r="R9" s="26"/>
      <c r="S9" s="26"/>
      <c r="T9" s="26"/>
      <c r="U9" s="26"/>
      <c r="V9" s="26"/>
      <c r="W9" s="26"/>
    </row>
    <row r="10" spans="1:23" x14ac:dyDescent="0.2">
      <c r="A10" s="26"/>
      <c r="B10" s="231"/>
      <c r="C10" s="88"/>
      <c r="D10" s="23"/>
      <c r="E10" s="62">
        <f ca="1">OFFSET('Unit Cell Details'!$F$32,0,('Cost Estimation'!$S$5-1)*8)</f>
        <v>12.258315060271684</v>
      </c>
      <c r="F10" s="29" t="s">
        <v>206</v>
      </c>
      <c r="G10" s="26"/>
      <c r="H10" s="26"/>
      <c r="I10" s="26"/>
      <c r="J10" s="26">
        <f ca="1">OFFSET('Unit Cell Details'!$D$56,0,('Cost Estimation'!$S$5-1)*8)</f>
        <v>1382.9</v>
      </c>
      <c r="K10" s="26"/>
      <c r="L10" s="25">
        <f ca="1">OFFSET('Unit Cell Details'!$F$56,0,('Cost Estimation'!$S$5-1)*8)</f>
        <v>2</v>
      </c>
      <c r="M10" s="25">
        <f ca="1">OFFSET('Unit Cell Details'!$G$56,0,('Cost Estimation'!$S$5-1)*8)</f>
        <v>27</v>
      </c>
      <c r="N10" s="26" t="s">
        <v>261</v>
      </c>
      <c r="O10" s="25">
        <f ca="1">L10*$H$20*G20</f>
        <v>24</v>
      </c>
      <c r="P10" s="25">
        <f ca="1">M10*$H$20*G20</f>
        <v>324</v>
      </c>
      <c r="Q10" s="26"/>
      <c r="R10" s="26"/>
      <c r="S10" s="26"/>
      <c r="T10" s="26"/>
      <c r="U10" s="26"/>
      <c r="V10" s="26"/>
      <c r="W10" s="26"/>
    </row>
    <row r="11" spans="1:23" x14ac:dyDescent="0.2">
      <c r="A11" s="26"/>
      <c r="B11" s="231"/>
      <c r="C11" s="23" t="s">
        <v>59</v>
      </c>
      <c r="D11" s="23"/>
      <c r="E11" s="26">
        <f ca="1">OFFSET('Unit Cell Details'!$F$33,0,('Cost Estimation'!$S$5-1)*8)</f>
        <v>1382.9</v>
      </c>
      <c r="F11" s="29" t="s">
        <v>55</v>
      </c>
      <c r="G11" s="26"/>
      <c r="H11" s="26"/>
      <c r="I11" s="26"/>
      <c r="J11" s="26">
        <f ca="1">OFFSET('Unit Cell Details'!$D$58,0,('Cost Estimation'!$S$5-1)*8)</f>
        <v>2000</v>
      </c>
      <c r="K11" s="26"/>
      <c r="L11" s="25">
        <f ca="1">OFFSET('Unit Cell Details'!$F$58,0,('Cost Estimation'!$S$5-1)*8)</f>
        <v>3</v>
      </c>
      <c r="M11" s="25">
        <f ca="1">OFFSET('Unit Cell Details'!$G$58,0,('Cost Estimation'!$S$5-1)*8)</f>
        <v>40.5</v>
      </c>
      <c r="N11" s="26" t="s">
        <v>261</v>
      </c>
      <c r="O11" s="25">
        <f ca="1">L11*$H$20*G20</f>
        <v>36</v>
      </c>
      <c r="P11" s="25">
        <f ca="1">M11*$H$20*G20</f>
        <v>486</v>
      </c>
      <c r="Q11" s="26"/>
      <c r="R11" s="26"/>
      <c r="S11" s="26"/>
      <c r="T11" s="26"/>
      <c r="U11" s="26"/>
      <c r="V11" s="26"/>
      <c r="W11" s="26"/>
    </row>
    <row r="12" spans="1:23" x14ac:dyDescent="0.2">
      <c r="A12" s="26"/>
      <c r="B12" s="232"/>
      <c r="C12" s="59" t="s">
        <v>60</v>
      </c>
      <c r="D12" s="59"/>
      <c r="E12" s="32">
        <f ca="1">OFFSET('Unit Cell Details'!$F$34,0,('Cost Estimation'!$S$5-1)*8)</f>
        <v>12</v>
      </c>
      <c r="F12" s="33" t="s">
        <v>56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</row>
    <row r="13" spans="1:23" x14ac:dyDescent="0.2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</row>
    <row r="14" spans="1:23" x14ac:dyDescent="0.2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</row>
    <row r="15" spans="1:23" ht="19" x14ac:dyDescent="0.25">
      <c r="A15" s="26"/>
      <c r="B15" s="258" t="s">
        <v>65</v>
      </c>
      <c r="C15" s="258"/>
      <c r="D15" s="258"/>
      <c r="E15" s="258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</row>
    <row r="16" spans="1:23" x14ac:dyDescent="0.2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</row>
    <row r="17" spans="1:23" x14ac:dyDescent="0.2">
      <c r="A17" s="26"/>
      <c r="B17" s="50"/>
      <c r="C17" s="50" t="s">
        <v>66</v>
      </c>
      <c r="D17" s="50" t="s">
        <v>69</v>
      </c>
      <c r="E17" s="51" t="s">
        <v>72</v>
      </c>
      <c r="F17" s="26"/>
      <c r="G17" s="50" t="s">
        <v>207</v>
      </c>
      <c r="H17" s="50" t="s">
        <v>56</v>
      </c>
      <c r="I17" s="50" t="s">
        <v>80</v>
      </c>
      <c r="J17" s="50" t="s">
        <v>55</v>
      </c>
      <c r="K17" s="50" t="s">
        <v>206</v>
      </c>
      <c r="L17" s="50"/>
      <c r="M17" s="50" t="s">
        <v>81</v>
      </c>
      <c r="N17" s="26"/>
      <c r="O17" s="26"/>
      <c r="P17" s="50" t="s">
        <v>212</v>
      </c>
      <c r="Q17" s="50" t="s">
        <v>207</v>
      </c>
      <c r="R17" s="50" t="s">
        <v>55</v>
      </c>
      <c r="S17" s="50" t="s">
        <v>212</v>
      </c>
      <c r="T17" s="50" t="s">
        <v>81</v>
      </c>
      <c r="U17" s="26"/>
      <c r="V17" s="26"/>
      <c r="W17" s="26"/>
    </row>
    <row r="18" spans="1:23" x14ac:dyDescent="0.2">
      <c r="A18" s="26"/>
      <c r="B18" s="52" t="s">
        <v>53</v>
      </c>
      <c r="C18" s="53">
        <v>3.4</v>
      </c>
      <c r="D18" s="54"/>
      <c r="E18" s="26"/>
      <c r="F18" s="26"/>
      <c r="G18" s="84">
        <f t="shared" ref="G18:G23" si="0">$S$6</f>
        <v>1</v>
      </c>
      <c r="H18" s="84">
        <f ca="1">E6</f>
        <v>24</v>
      </c>
      <c r="I18" s="65">
        <f ca="1">E4</f>
        <v>362.67750000000001</v>
      </c>
      <c r="J18" s="65">
        <f ca="1">E5</f>
        <v>80</v>
      </c>
      <c r="K18" s="65"/>
      <c r="L18" s="65"/>
      <c r="M18" s="63">
        <f ca="1">G18*H18*I18*J18*C18</f>
        <v>2367558.7200000002</v>
      </c>
      <c r="N18" s="26"/>
      <c r="O18" s="26"/>
      <c r="P18" s="26">
        <f ca="1">H18*G18*J18</f>
        <v>1920</v>
      </c>
      <c r="Q18" s="84"/>
      <c r="R18" s="65">
        <f ca="1">J5</f>
        <v>70</v>
      </c>
      <c r="S18" s="26">
        <f ca="1">H18*G18*R18</f>
        <v>1680</v>
      </c>
      <c r="T18" s="63">
        <f ca="1">G18*H18*I18*R18*C18</f>
        <v>2071613.8800000001</v>
      </c>
      <c r="U18" s="26"/>
      <c r="V18" s="26"/>
      <c r="W18" s="26"/>
    </row>
    <row r="19" spans="1:23" x14ac:dyDescent="0.2">
      <c r="A19" s="26"/>
      <c r="B19" s="55" t="s">
        <v>67</v>
      </c>
      <c r="C19" s="53"/>
      <c r="D19" s="54">
        <v>12</v>
      </c>
      <c r="E19" s="26"/>
      <c r="F19" s="26"/>
      <c r="G19" s="84">
        <f t="shared" si="0"/>
        <v>1</v>
      </c>
      <c r="H19" s="84"/>
      <c r="I19" s="65"/>
      <c r="J19" s="65"/>
      <c r="K19" s="65"/>
      <c r="L19" s="65"/>
      <c r="M19" s="26"/>
      <c r="N19" s="26"/>
      <c r="O19" s="26"/>
      <c r="P19" s="26"/>
      <c r="Q19" s="84"/>
      <c r="R19" s="65"/>
      <c r="S19" s="26"/>
      <c r="T19" s="26"/>
      <c r="U19" s="26"/>
      <c r="V19" s="26"/>
      <c r="W19" s="26"/>
    </row>
    <row r="20" spans="1:23" x14ac:dyDescent="0.2">
      <c r="A20" s="26"/>
      <c r="B20" s="47" t="s">
        <v>29</v>
      </c>
      <c r="C20" s="53"/>
      <c r="D20" s="54">
        <v>30</v>
      </c>
      <c r="E20" s="26"/>
      <c r="F20" s="26"/>
      <c r="G20" s="84">
        <f t="shared" si="0"/>
        <v>1</v>
      </c>
      <c r="H20" s="84">
        <f ca="1">E12</f>
        <v>12</v>
      </c>
      <c r="I20" s="65"/>
      <c r="J20" s="65">
        <f ca="1">E11</f>
        <v>1382.9</v>
      </c>
      <c r="K20" s="65">
        <f ca="1">E10</f>
        <v>12.258315060271684</v>
      </c>
      <c r="L20" s="65"/>
      <c r="M20" s="63">
        <f ca="1">G20*H20*K20*J20*D20</f>
        <v>6102728.6028658971</v>
      </c>
      <c r="N20" s="26"/>
      <c r="O20" s="26"/>
      <c r="P20" s="26">
        <f ca="1">H20*G20*J20</f>
        <v>16594.800000000003</v>
      </c>
      <c r="Q20" s="84"/>
      <c r="R20" s="65">
        <f ca="1">J11</f>
        <v>2000</v>
      </c>
      <c r="S20" s="26">
        <f ca="1">H20*G20*R20</f>
        <v>24000</v>
      </c>
      <c r="T20" s="63">
        <f ca="1">G20*H20*K20*R20*D20</f>
        <v>8825986.8433956131</v>
      </c>
      <c r="U20" s="26"/>
      <c r="V20" s="26"/>
      <c r="W20" s="26"/>
    </row>
    <row r="21" spans="1:23" x14ac:dyDescent="0.2">
      <c r="A21" s="26"/>
      <c r="B21" s="47" t="s">
        <v>68</v>
      </c>
      <c r="C21" s="53"/>
      <c r="D21" s="54">
        <v>140</v>
      </c>
      <c r="E21" s="26"/>
      <c r="F21" s="26"/>
      <c r="G21" s="84">
        <f t="shared" si="0"/>
        <v>1</v>
      </c>
      <c r="H21" s="84"/>
      <c r="I21" s="65"/>
      <c r="J21" s="65"/>
      <c r="K21" s="65"/>
      <c r="L21" s="65"/>
      <c r="M21" s="26"/>
      <c r="N21" s="26"/>
      <c r="O21" s="26"/>
      <c r="P21" s="26"/>
      <c r="Q21" s="84"/>
      <c r="R21" s="65"/>
      <c r="S21" s="26"/>
      <c r="T21" s="26"/>
      <c r="U21" s="26"/>
      <c r="V21" s="26"/>
      <c r="W21" s="26"/>
    </row>
    <row r="22" spans="1:23" x14ac:dyDescent="0.2">
      <c r="A22" s="26"/>
      <c r="B22" s="47" t="s">
        <v>70</v>
      </c>
      <c r="C22" s="53"/>
      <c r="D22" s="54"/>
      <c r="E22" s="54">
        <v>0.25</v>
      </c>
      <c r="F22" s="26"/>
      <c r="G22" s="84">
        <f t="shared" si="0"/>
        <v>1</v>
      </c>
      <c r="H22" s="84"/>
      <c r="I22" s="65"/>
      <c r="J22" s="65"/>
      <c r="K22" s="65"/>
      <c r="L22" s="65"/>
      <c r="M22" s="26"/>
      <c r="N22" s="26"/>
      <c r="O22" s="26"/>
      <c r="P22" s="26"/>
      <c r="Q22" s="84"/>
      <c r="R22" s="65"/>
      <c r="S22" s="26"/>
      <c r="T22" s="26"/>
      <c r="U22" s="26"/>
      <c r="V22" s="26"/>
      <c r="W22" s="26"/>
    </row>
    <row r="23" spans="1:23" x14ac:dyDescent="0.2">
      <c r="A23" s="26"/>
      <c r="B23" s="47" t="s">
        <v>71</v>
      </c>
      <c r="C23" s="53"/>
      <c r="D23" s="54"/>
      <c r="E23" s="54">
        <v>0.31</v>
      </c>
      <c r="F23" s="26"/>
      <c r="G23" s="84">
        <f t="shared" si="0"/>
        <v>1</v>
      </c>
      <c r="H23" s="84">
        <f ca="1">E1</f>
        <v>8</v>
      </c>
      <c r="I23" s="65">
        <f ca="1">E2</f>
        <v>1250000</v>
      </c>
      <c r="J23" s="65"/>
      <c r="K23" s="65"/>
      <c r="L23" s="65"/>
      <c r="M23" s="63">
        <f ca="1">G23*H23*I23*E23</f>
        <v>3100000</v>
      </c>
      <c r="N23" s="26"/>
      <c r="O23" s="26"/>
      <c r="P23" s="26"/>
      <c r="Q23" s="84"/>
      <c r="R23" s="65"/>
      <c r="S23" s="26"/>
      <c r="T23" s="63">
        <f ca="1">M23</f>
        <v>3100000</v>
      </c>
      <c r="U23" s="26"/>
      <c r="V23" s="26"/>
      <c r="W23" s="26"/>
    </row>
    <row r="24" spans="1:23" x14ac:dyDescent="0.2">
      <c r="A24" s="26"/>
      <c r="B24" s="26"/>
      <c r="C24" s="53"/>
      <c r="D24" s="54"/>
      <c r="E24" s="26"/>
      <c r="F24" s="26"/>
      <c r="G24" s="257" t="s">
        <v>211</v>
      </c>
      <c r="H24" s="257"/>
      <c r="I24" s="257"/>
      <c r="J24" s="257"/>
      <c r="K24" s="257"/>
      <c r="L24" s="257"/>
      <c r="M24" s="89">
        <f ca="1">SUM(M18:M23)</f>
        <v>11570287.322865898</v>
      </c>
      <c r="N24" s="26"/>
      <c r="O24" s="26"/>
      <c r="P24" s="26"/>
      <c r="Q24" s="26"/>
      <c r="R24" s="26"/>
      <c r="S24" s="26"/>
      <c r="T24" s="89">
        <f ca="1">SUM(T18:T23)</f>
        <v>13997600.723395614</v>
      </c>
      <c r="U24" s="26"/>
      <c r="V24" s="26"/>
      <c r="W24" s="26"/>
    </row>
    <row r="25" spans="1:23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</row>
    <row r="26" spans="1:23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</row>
    <row r="27" spans="1:23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</row>
    <row r="35" spans="4:4" x14ac:dyDescent="0.2">
      <c r="D35" s="61"/>
    </row>
  </sheetData>
  <mergeCells count="9">
    <mergeCell ref="M9:N9"/>
    <mergeCell ref="B8:B12"/>
    <mergeCell ref="G24:L24"/>
    <mergeCell ref="B15:E15"/>
    <mergeCell ref="B3:B7"/>
    <mergeCell ref="G3:I3"/>
    <mergeCell ref="G4:I4"/>
    <mergeCell ref="G5:I5"/>
    <mergeCell ref="G8:I8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F4E55-72FE-48FD-B6DA-FE01FA4F5D3A}">
  <sheetPr codeName="Sheet12">
    <tabColor theme="7" tint="0.59999389629810485"/>
  </sheetPr>
  <dimension ref="A1:R63"/>
  <sheetViews>
    <sheetView workbookViewId="0"/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hidden="1" customWidth="1"/>
    <col min="8" max="8" width="1.6640625" customWidth="1"/>
    <col min="9" max="9" width="13.6640625" customWidth="1"/>
    <col min="10" max="10" width="54.6640625" customWidth="1"/>
    <col min="12" max="12" width="11" hidden="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hidden="1" customWidth="1"/>
  </cols>
  <sheetData>
    <row r="1" spans="1:1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18" x14ac:dyDescent="0.2">
      <c r="A2" s="247" t="s">
        <v>153</v>
      </c>
      <c r="B2" s="99"/>
      <c r="C2" s="26"/>
      <c r="D2" s="26"/>
      <c r="E2" s="69" t="s">
        <v>117</v>
      </c>
      <c r="F2" s="70" t="s">
        <v>90</v>
      </c>
      <c r="G2" s="70" t="s">
        <v>90</v>
      </c>
      <c r="H2" s="26"/>
      <c r="I2" s="26"/>
      <c r="J2" s="69"/>
      <c r="K2" s="70"/>
      <c r="L2" s="26"/>
      <c r="M2" s="26"/>
      <c r="N2" s="26"/>
      <c r="O2" s="26"/>
      <c r="P2" s="26"/>
      <c r="Q2" s="26"/>
      <c r="R2" s="26"/>
    </row>
    <row r="3" spans="1:18" x14ac:dyDescent="0.2">
      <c r="A3" s="248"/>
      <c r="B3" s="110">
        <f>Main!F7</f>
        <v>1</v>
      </c>
      <c r="C3" s="26"/>
      <c r="D3" s="26"/>
      <c r="E3" s="66" t="s">
        <v>158</v>
      </c>
      <c r="F3" s="67">
        <f>F12/24</f>
        <v>3.875</v>
      </c>
      <c r="G3" s="67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2">
      <c r="A4" s="26"/>
      <c r="B4" s="106" t="s">
        <v>223</v>
      </c>
      <c r="C4" s="109" t="s">
        <v>222</v>
      </c>
      <c r="D4" s="60"/>
      <c r="E4" s="101" t="s">
        <v>160</v>
      </c>
      <c r="F4" s="64"/>
      <c r="G4" s="64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2">
      <c r="A5" s="103" t="s">
        <v>192</v>
      </c>
      <c r="B5" s="107">
        <f>F3+F7*(IF(B2&lt;&gt;"",B2,B3)-1)</f>
        <v>3.875</v>
      </c>
      <c r="C5" s="111"/>
      <c r="D5" s="105" t="s">
        <v>38</v>
      </c>
      <c r="E5" s="32"/>
      <c r="F5" s="68"/>
      <c r="G5" s="68"/>
      <c r="H5" s="26"/>
      <c r="I5" s="26"/>
      <c r="J5" s="71"/>
      <c r="K5" s="72"/>
      <c r="L5" s="26"/>
      <c r="M5" s="26"/>
      <c r="N5" s="26"/>
      <c r="O5" s="26"/>
      <c r="P5" s="26"/>
      <c r="Q5" s="26"/>
      <c r="R5" s="26"/>
    </row>
    <row r="6" spans="1:18" x14ac:dyDescent="0.2">
      <c r="A6" s="31" t="s">
        <v>193</v>
      </c>
      <c r="B6" s="108">
        <v>0</v>
      </c>
      <c r="C6" s="112"/>
      <c r="D6" s="33" t="s">
        <v>38</v>
      </c>
      <c r="E6" s="100" t="s">
        <v>120</v>
      </c>
      <c r="F6" s="70" t="s">
        <v>90</v>
      </c>
      <c r="G6" s="70" t="s">
        <v>90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2">
      <c r="A7" s="26"/>
      <c r="B7" s="26"/>
      <c r="C7" s="26"/>
      <c r="D7" s="26"/>
      <c r="E7" s="66" t="s">
        <v>159</v>
      </c>
      <c r="F7" s="64">
        <f>F12/24-F36/24</f>
        <v>3.375</v>
      </c>
      <c r="G7" s="97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2">
      <c r="A8" s="26"/>
      <c r="B8" s="26"/>
      <c r="C8" s="26"/>
      <c r="D8" s="26"/>
      <c r="E8" s="31"/>
      <c r="F8" s="68"/>
      <c r="G8" s="98"/>
      <c r="H8" s="26"/>
      <c r="I8" s="26"/>
      <c r="J8" s="71"/>
      <c r="K8" s="72"/>
      <c r="L8" s="26"/>
      <c r="M8" s="26"/>
      <c r="N8" s="26"/>
      <c r="O8" s="26"/>
      <c r="P8" s="26"/>
      <c r="Q8" s="26"/>
      <c r="R8" s="26"/>
    </row>
    <row r="9" spans="1:18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1:18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18" x14ac:dyDescent="0.2">
      <c r="A11" s="26"/>
      <c r="B11" s="26"/>
      <c r="C11" s="26"/>
      <c r="D11" s="42"/>
      <c r="E11" s="43" t="s">
        <v>161</v>
      </c>
      <c r="F11" s="76"/>
      <c r="G11" s="44"/>
      <c r="H11" s="136"/>
      <c r="I11" s="42"/>
      <c r="J11" s="43"/>
      <c r="K11" s="76"/>
      <c r="L11" s="44"/>
      <c r="M11" s="136"/>
      <c r="N11" s="42"/>
      <c r="O11" s="43"/>
      <c r="P11" s="76"/>
      <c r="Q11" s="44"/>
      <c r="R11" s="30"/>
    </row>
    <row r="12" spans="1:18" x14ac:dyDescent="0.2">
      <c r="A12" s="26"/>
      <c r="B12" s="26"/>
      <c r="C12" s="26"/>
      <c r="D12" s="35" t="s">
        <v>112</v>
      </c>
      <c r="E12" s="36"/>
      <c r="F12" s="77">
        <f>SUM(F16:F59)</f>
        <v>93</v>
      </c>
      <c r="G12" s="94">
        <f>SUM(G16:G59)</f>
        <v>0</v>
      </c>
      <c r="H12" s="136"/>
      <c r="I12" s="35" t="s">
        <v>112</v>
      </c>
      <c r="J12" s="36"/>
      <c r="K12" s="77">
        <f>SUM(K16:K59)</f>
        <v>0</v>
      </c>
      <c r="L12" s="94">
        <f>SUM(L16:L59)</f>
        <v>0</v>
      </c>
      <c r="M12" s="136"/>
      <c r="N12" s="35" t="s">
        <v>112</v>
      </c>
      <c r="O12" s="36"/>
      <c r="P12" s="77">
        <f>SUM(P16:P59)</f>
        <v>0</v>
      </c>
      <c r="Q12" s="94">
        <f>SUM(Q16:Q59)</f>
        <v>0</v>
      </c>
      <c r="R12" s="30"/>
    </row>
    <row r="13" spans="1:18" x14ac:dyDescent="0.2">
      <c r="A13" s="26"/>
      <c r="B13" s="26"/>
      <c r="C13" s="26"/>
      <c r="D13" s="253"/>
      <c r="E13" s="254"/>
      <c r="F13" s="254"/>
      <c r="G13" s="255"/>
      <c r="H13" s="136"/>
      <c r="I13" s="253"/>
      <c r="J13" s="254"/>
      <c r="K13" s="254"/>
      <c r="L13" s="255"/>
      <c r="M13" s="136"/>
      <c r="N13" s="253"/>
      <c r="O13" s="254"/>
      <c r="P13" s="254"/>
      <c r="Q13" s="255"/>
      <c r="R13" s="30"/>
    </row>
    <row r="14" spans="1:18" ht="15" customHeight="1" x14ac:dyDescent="0.2">
      <c r="A14" s="26"/>
      <c r="B14" s="26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49" t="s">
        <v>83</v>
      </c>
      <c r="J14" s="38" t="s">
        <v>16</v>
      </c>
      <c r="K14" s="39" t="s">
        <v>17</v>
      </c>
      <c r="L14" s="39" t="s">
        <v>215</v>
      </c>
      <c r="M14" s="26"/>
      <c r="N14" s="249" t="s">
        <v>83</v>
      </c>
      <c r="O14" s="38" t="s">
        <v>16</v>
      </c>
      <c r="P14" s="39" t="s">
        <v>17</v>
      </c>
      <c r="Q14" s="39" t="s">
        <v>215</v>
      </c>
      <c r="R14" s="26"/>
    </row>
    <row r="15" spans="1:18" x14ac:dyDescent="0.2">
      <c r="A15" s="26"/>
      <c r="B15" s="26"/>
      <c r="C15" s="26"/>
      <c r="D15" s="250"/>
      <c r="E15" s="252"/>
      <c r="F15" s="41" t="s">
        <v>18</v>
      </c>
      <c r="G15" s="41" t="s">
        <v>18</v>
      </c>
      <c r="H15" s="26"/>
      <c r="I15" s="250"/>
      <c r="J15" s="40"/>
      <c r="K15" s="41" t="s">
        <v>18</v>
      </c>
      <c r="L15" s="41" t="s">
        <v>18</v>
      </c>
      <c r="M15" s="26"/>
      <c r="N15" s="250"/>
      <c r="O15" s="40"/>
      <c r="P15" s="41" t="s">
        <v>18</v>
      </c>
      <c r="Q15" s="41" t="s">
        <v>18</v>
      </c>
      <c r="R15" s="26"/>
    </row>
    <row r="16" spans="1:18" x14ac:dyDescent="0.2">
      <c r="A16" s="26"/>
      <c r="B16" s="26"/>
      <c r="C16" s="26"/>
      <c r="D16" s="27">
        <v>1</v>
      </c>
      <c r="E16" s="26" t="s">
        <v>122</v>
      </c>
      <c r="F16" s="28">
        <v>6</v>
      </c>
      <c r="G16" s="28"/>
      <c r="H16" s="26"/>
      <c r="I16" s="27"/>
      <c r="J16" s="26"/>
      <c r="K16" s="28"/>
      <c r="L16" s="28"/>
      <c r="M16" s="26"/>
      <c r="N16" s="27"/>
      <c r="O16" s="26"/>
      <c r="P16" s="28"/>
      <c r="Q16" s="28"/>
      <c r="R16" s="26"/>
    </row>
    <row r="17" spans="1:18" x14ac:dyDescent="0.2">
      <c r="A17" s="26"/>
      <c r="B17" s="26"/>
      <c r="C17" s="26"/>
      <c r="D17" s="27">
        <v>2</v>
      </c>
      <c r="E17" s="26" t="s">
        <v>123</v>
      </c>
      <c r="F17" s="28">
        <v>5</v>
      </c>
      <c r="G17" s="28"/>
      <c r="H17" s="26"/>
      <c r="I17" s="27"/>
      <c r="J17" s="26"/>
      <c r="K17" s="28"/>
      <c r="L17" s="28"/>
      <c r="M17" s="26"/>
      <c r="N17" s="27"/>
      <c r="O17" s="26"/>
      <c r="P17" s="28"/>
      <c r="Q17" s="28"/>
      <c r="R17" s="26"/>
    </row>
    <row r="18" spans="1:18" x14ac:dyDescent="0.2">
      <c r="A18" s="26"/>
      <c r="B18" s="26"/>
      <c r="C18" s="26"/>
      <c r="D18" s="27">
        <v>3</v>
      </c>
      <c r="E18" s="26" t="s">
        <v>124</v>
      </c>
      <c r="F18" s="28">
        <v>5</v>
      </c>
      <c r="G18" s="28"/>
      <c r="H18" s="26"/>
      <c r="I18" s="27"/>
      <c r="J18" s="26"/>
      <c r="K18" s="28"/>
      <c r="L18" s="28"/>
      <c r="M18" s="26"/>
      <c r="N18" s="27"/>
      <c r="O18" s="26"/>
      <c r="P18" s="28"/>
      <c r="Q18" s="28"/>
      <c r="R18" s="26"/>
    </row>
    <row r="19" spans="1:18" x14ac:dyDescent="0.2">
      <c r="A19" s="26"/>
      <c r="B19" s="26"/>
      <c r="C19" s="26"/>
      <c r="D19" s="27">
        <v>4</v>
      </c>
      <c r="E19" s="26" t="s">
        <v>125</v>
      </c>
      <c r="F19" s="28">
        <v>5</v>
      </c>
      <c r="G19" s="28"/>
      <c r="H19" s="26"/>
      <c r="I19" s="27"/>
      <c r="J19" s="26"/>
      <c r="K19" s="28"/>
      <c r="L19" s="28"/>
      <c r="M19" s="26"/>
      <c r="N19" s="27"/>
      <c r="O19" s="26"/>
      <c r="P19" s="28"/>
      <c r="Q19" s="28"/>
      <c r="R19" s="26"/>
    </row>
    <row r="20" spans="1:18" x14ac:dyDescent="0.2">
      <c r="A20" s="26"/>
      <c r="B20" s="26"/>
      <c r="C20" s="26"/>
      <c r="D20" s="27"/>
      <c r="E20" s="26"/>
      <c r="F20" s="28"/>
      <c r="G20" s="28"/>
      <c r="H20" s="26"/>
      <c r="I20" s="27"/>
      <c r="J20" s="26"/>
      <c r="K20" s="28"/>
      <c r="L20" s="28"/>
      <c r="M20" s="26"/>
      <c r="N20" s="27"/>
      <c r="O20" s="26"/>
      <c r="P20" s="28"/>
      <c r="Q20" s="28"/>
      <c r="R20" s="26"/>
    </row>
    <row r="21" spans="1:18" x14ac:dyDescent="0.2">
      <c r="A21" s="26"/>
      <c r="B21" s="26"/>
      <c r="C21" s="26"/>
      <c r="D21" s="27">
        <v>5</v>
      </c>
      <c r="E21" s="26" t="s">
        <v>126</v>
      </c>
      <c r="F21" s="28">
        <v>5</v>
      </c>
      <c r="G21" s="28"/>
      <c r="H21" s="26"/>
      <c r="I21" s="27"/>
      <c r="J21" s="26"/>
      <c r="K21" s="28"/>
      <c r="L21" s="28"/>
      <c r="M21" s="26"/>
      <c r="N21" s="27"/>
      <c r="O21" s="26"/>
      <c r="P21" s="28"/>
      <c r="Q21" s="28"/>
      <c r="R21" s="26"/>
    </row>
    <row r="22" spans="1:18" x14ac:dyDescent="0.2">
      <c r="A22" s="26"/>
      <c r="B22" s="26"/>
      <c r="C22" s="26"/>
      <c r="D22" s="27">
        <v>6</v>
      </c>
      <c r="E22" s="26" t="s">
        <v>127</v>
      </c>
      <c r="F22" s="28">
        <v>5</v>
      </c>
      <c r="G22" s="28"/>
      <c r="H22" s="26"/>
      <c r="I22" s="27"/>
      <c r="J22" s="26"/>
      <c r="K22" s="28"/>
      <c r="L22" s="28"/>
      <c r="M22" s="26"/>
      <c r="N22" s="27"/>
      <c r="O22" s="26"/>
      <c r="P22" s="28"/>
      <c r="Q22" s="28"/>
      <c r="R22" s="26"/>
    </row>
    <row r="23" spans="1:18" x14ac:dyDescent="0.2">
      <c r="A23" s="26"/>
      <c r="B23" s="26"/>
      <c r="C23" s="26"/>
      <c r="D23" s="27">
        <v>7</v>
      </c>
      <c r="E23" s="26" t="s">
        <v>128</v>
      </c>
      <c r="F23" s="28">
        <v>5</v>
      </c>
      <c r="G23" s="28"/>
      <c r="H23" s="26"/>
      <c r="I23" s="27"/>
      <c r="J23" s="26"/>
      <c r="K23" s="28"/>
      <c r="L23" s="28"/>
      <c r="M23" s="26"/>
      <c r="N23" s="27"/>
      <c r="O23" s="26"/>
      <c r="P23" s="28"/>
      <c r="Q23" s="28"/>
      <c r="R23" s="26"/>
    </row>
    <row r="24" spans="1:18" x14ac:dyDescent="0.2">
      <c r="A24" s="26"/>
      <c r="B24" s="26"/>
      <c r="C24" s="26"/>
      <c r="D24" s="27">
        <v>8</v>
      </c>
      <c r="E24" s="26" t="s">
        <v>129</v>
      </c>
      <c r="F24" s="28">
        <v>5</v>
      </c>
      <c r="G24" s="28"/>
      <c r="H24" s="26"/>
      <c r="I24" s="27"/>
      <c r="J24" s="26"/>
      <c r="K24" s="28"/>
      <c r="L24" s="28"/>
      <c r="M24" s="26"/>
      <c r="N24" s="27"/>
      <c r="O24" s="26"/>
      <c r="P24" s="28"/>
      <c r="Q24" s="28"/>
      <c r="R24" s="26"/>
    </row>
    <row r="25" spans="1:18" x14ac:dyDescent="0.2">
      <c r="A25" s="26"/>
      <c r="B25" s="26"/>
      <c r="C25" s="26"/>
      <c r="D25" s="27"/>
      <c r="E25" s="26"/>
      <c r="F25" s="28"/>
      <c r="G25" s="28"/>
      <c r="H25" s="26"/>
      <c r="I25" s="27"/>
      <c r="J25" s="26"/>
      <c r="K25" s="28"/>
      <c r="L25" s="28"/>
      <c r="M25" s="26"/>
      <c r="N25" s="27"/>
      <c r="O25" s="26"/>
      <c r="P25" s="28"/>
      <c r="Q25" s="28"/>
      <c r="R25" s="26"/>
    </row>
    <row r="26" spans="1:18" x14ac:dyDescent="0.2">
      <c r="A26" s="26"/>
      <c r="B26" s="26"/>
      <c r="C26" s="26"/>
      <c r="D26" s="27">
        <v>9</v>
      </c>
      <c r="E26" s="26" t="s">
        <v>130</v>
      </c>
      <c r="F26" s="28">
        <v>5</v>
      </c>
      <c r="G26" s="28"/>
      <c r="H26" s="26"/>
      <c r="I26" s="27"/>
      <c r="J26" s="26"/>
      <c r="K26" s="28"/>
      <c r="L26" s="28"/>
      <c r="M26" s="26"/>
      <c r="N26" s="27"/>
      <c r="O26" s="26"/>
      <c r="P26" s="28"/>
      <c r="Q26" s="28"/>
      <c r="R26" s="26"/>
    </row>
    <row r="27" spans="1:18" x14ac:dyDescent="0.2">
      <c r="A27" s="26"/>
      <c r="B27" s="26"/>
      <c r="C27" s="26"/>
      <c r="D27" s="27">
        <v>10</v>
      </c>
      <c r="E27" s="26" t="s">
        <v>131</v>
      </c>
      <c r="F27" s="28">
        <v>5</v>
      </c>
      <c r="G27" s="28"/>
      <c r="H27" s="26"/>
      <c r="I27" s="27"/>
      <c r="J27" s="26"/>
      <c r="K27" s="28"/>
      <c r="L27" s="28"/>
      <c r="M27" s="26"/>
      <c r="N27" s="27"/>
      <c r="O27" s="26"/>
      <c r="P27" s="28"/>
      <c r="Q27" s="28"/>
      <c r="R27" s="26"/>
    </row>
    <row r="28" spans="1:18" x14ac:dyDescent="0.2">
      <c r="A28" s="26"/>
      <c r="B28" s="26"/>
      <c r="C28" s="26"/>
      <c r="D28" s="27">
        <v>11</v>
      </c>
      <c r="E28" s="26" t="s">
        <v>132</v>
      </c>
      <c r="F28" s="28">
        <v>5</v>
      </c>
      <c r="G28" s="28"/>
      <c r="H28" s="26"/>
      <c r="I28" s="27"/>
      <c r="J28" s="26"/>
      <c r="K28" s="28"/>
      <c r="L28" s="28"/>
      <c r="M28" s="26"/>
      <c r="N28" s="27"/>
      <c r="O28" s="26"/>
      <c r="P28" s="28"/>
      <c r="Q28" s="28"/>
      <c r="R28" s="26"/>
    </row>
    <row r="29" spans="1:18" x14ac:dyDescent="0.2">
      <c r="A29" s="26"/>
      <c r="B29" s="26"/>
      <c r="C29" s="26"/>
      <c r="D29" s="27">
        <v>12</v>
      </c>
      <c r="E29" s="26" t="s">
        <v>133</v>
      </c>
      <c r="F29" s="28">
        <v>5</v>
      </c>
      <c r="G29" s="28"/>
      <c r="H29" s="26"/>
      <c r="I29" s="27"/>
      <c r="J29" s="26"/>
      <c r="K29" s="28"/>
      <c r="L29" s="28"/>
      <c r="M29" s="26"/>
      <c r="N29" s="27"/>
      <c r="O29" s="26"/>
      <c r="P29" s="28"/>
      <c r="Q29" s="28"/>
      <c r="R29" s="26"/>
    </row>
    <row r="30" spans="1:18" x14ac:dyDescent="0.2">
      <c r="A30" s="26"/>
      <c r="B30" s="26"/>
      <c r="C30" s="26"/>
      <c r="D30" s="27"/>
      <c r="E30" s="26"/>
      <c r="F30" s="28"/>
      <c r="G30" s="28"/>
      <c r="H30" s="26"/>
      <c r="I30" s="27"/>
      <c r="J30" s="26"/>
      <c r="K30" s="28"/>
      <c r="L30" s="28"/>
      <c r="M30" s="26"/>
      <c r="N30" s="27"/>
      <c r="O30" s="26"/>
      <c r="P30" s="28"/>
      <c r="Q30" s="28"/>
      <c r="R30" s="26"/>
    </row>
    <row r="31" spans="1:18" x14ac:dyDescent="0.2">
      <c r="A31" s="26"/>
      <c r="B31" s="26"/>
      <c r="C31" s="26"/>
      <c r="D31" s="27">
        <v>13</v>
      </c>
      <c r="E31" s="26" t="s">
        <v>134</v>
      </c>
      <c r="F31" s="28">
        <v>5</v>
      </c>
      <c r="G31" s="28"/>
      <c r="H31" s="26"/>
      <c r="I31" s="27"/>
      <c r="J31" s="26"/>
      <c r="K31" s="28"/>
      <c r="L31" s="28"/>
      <c r="M31" s="26"/>
      <c r="N31" s="27"/>
      <c r="O31" s="26"/>
      <c r="P31" s="28"/>
      <c r="Q31" s="28"/>
      <c r="R31" s="26"/>
    </row>
    <row r="32" spans="1:18" x14ac:dyDescent="0.2">
      <c r="A32" s="26"/>
      <c r="B32" s="26"/>
      <c r="C32" s="26"/>
      <c r="D32" s="27">
        <v>14</v>
      </c>
      <c r="E32" s="26" t="s">
        <v>135</v>
      </c>
      <c r="F32" s="28">
        <v>5</v>
      </c>
      <c r="G32" s="28"/>
      <c r="H32" s="26"/>
      <c r="I32" s="27"/>
      <c r="J32" s="26"/>
      <c r="K32" s="28"/>
      <c r="L32" s="28"/>
      <c r="M32" s="26"/>
      <c r="N32" s="27"/>
      <c r="O32" s="26"/>
      <c r="P32" s="28"/>
      <c r="Q32" s="28"/>
      <c r="R32" s="26"/>
    </row>
    <row r="33" spans="1:18" x14ac:dyDescent="0.2">
      <c r="A33" s="26"/>
      <c r="B33" s="26"/>
      <c r="C33" s="26"/>
      <c r="D33" s="27">
        <v>15</v>
      </c>
      <c r="E33" s="26" t="s">
        <v>136</v>
      </c>
      <c r="F33" s="28">
        <v>5</v>
      </c>
      <c r="G33" s="28"/>
      <c r="H33" s="26"/>
      <c r="I33" s="27"/>
      <c r="J33" s="26"/>
      <c r="K33" s="28"/>
      <c r="L33" s="28"/>
      <c r="M33" s="26"/>
      <c r="N33" s="27"/>
      <c r="O33" s="26"/>
      <c r="P33" s="28"/>
      <c r="Q33" s="28"/>
      <c r="R33" s="26"/>
    </row>
    <row r="34" spans="1:18" x14ac:dyDescent="0.2">
      <c r="A34" s="26"/>
      <c r="B34" s="26"/>
      <c r="C34" s="26"/>
      <c r="D34" s="27">
        <v>16</v>
      </c>
      <c r="E34" s="26" t="s">
        <v>137</v>
      </c>
      <c r="F34" s="28">
        <v>5</v>
      </c>
      <c r="G34" s="28"/>
      <c r="H34" s="26"/>
      <c r="I34" s="27"/>
      <c r="J34" s="26"/>
      <c r="K34" s="28"/>
      <c r="L34" s="28"/>
      <c r="M34" s="26"/>
      <c r="N34" s="27"/>
      <c r="O34" s="26"/>
      <c r="P34" s="28"/>
      <c r="Q34" s="28"/>
      <c r="R34" s="26"/>
    </row>
    <row r="35" spans="1:18" x14ac:dyDescent="0.2">
      <c r="A35" s="26"/>
      <c r="B35" s="26"/>
      <c r="C35" s="26"/>
      <c r="D35" s="27"/>
      <c r="E35" s="26"/>
      <c r="F35" s="28"/>
      <c r="G35" s="28"/>
      <c r="H35" s="26"/>
      <c r="I35" s="27"/>
      <c r="J35" s="26"/>
      <c r="K35" s="28"/>
      <c r="L35" s="28"/>
      <c r="M35" s="26"/>
      <c r="N35" s="27"/>
      <c r="O35" s="26"/>
      <c r="P35" s="28"/>
      <c r="Q35" s="28"/>
      <c r="R35" s="26"/>
    </row>
    <row r="36" spans="1:18" x14ac:dyDescent="0.2">
      <c r="A36" s="26"/>
      <c r="B36" s="26"/>
      <c r="C36" s="26"/>
      <c r="D36" s="27">
        <v>17</v>
      </c>
      <c r="E36" s="26" t="s">
        <v>138</v>
      </c>
      <c r="F36" s="28">
        <v>12</v>
      </c>
      <c r="G36" s="28"/>
      <c r="H36" s="26"/>
      <c r="I36" s="27"/>
      <c r="J36" s="26"/>
      <c r="K36" s="28"/>
      <c r="L36" s="28"/>
      <c r="M36" s="26"/>
      <c r="N36" s="27"/>
      <c r="O36" s="26"/>
      <c r="P36" s="28"/>
      <c r="Q36" s="28"/>
      <c r="R36" s="26"/>
    </row>
    <row r="37" spans="1:18" x14ac:dyDescent="0.2">
      <c r="A37" s="26"/>
      <c r="B37" s="26"/>
      <c r="C37" s="26"/>
      <c r="D37" s="27"/>
      <c r="E37" s="26"/>
      <c r="F37" s="28"/>
      <c r="G37" s="28"/>
      <c r="H37" s="26"/>
      <c r="I37" s="27"/>
      <c r="J37" s="26"/>
      <c r="K37" s="28"/>
      <c r="L37" s="28"/>
      <c r="M37" s="26"/>
      <c r="N37" s="27"/>
      <c r="O37" s="26"/>
      <c r="P37" s="28"/>
      <c r="Q37" s="28"/>
      <c r="R37" s="26"/>
    </row>
    <row r="38" spans="1:18" x14ac:dyDescent="0.2">
      <c r="A38" s="26"/>
      <c r="B38" s="26"/>
      <c r="C38" s="26"/>
      <c r="D38" s="27"/>
      <c r="E38" s="26"/>
      <c r="F38" s="28"/>
      <c r="G38" s="28"/>
      <c r="H38" s="26"/>
      <c r="I38" s="27"/>
      <c r="J38" s="26"/>
      <c r="K38" s="28"/>
      <c r="L38" s="28"/>
      <c r="M38" s="26"/>
      <c r="N38" s="27"/>
      <c r="O38" s="26"/>
      <c r="P38" s="28"/>
      <c r="Q38" s="28"/>
      <c r="R38" s="26"/>
    </row>
    <row r="39" spans="1:18" x14ac:dyDescent="0.2">
      <c r="A39" s="26"/>
      <c r="B39" s="26"/>
      <c r="C39" s="26"/>
      <c r="D39" s="27"/>
      <c r="E39" s="26"/>
      <c r="F39" s="28"/>
      <c r="G39" s="28"/>
      <c r="H39" s="26"/>
      <c r="I39" s="27"/>
      <c r="J39" s="26"/>
      <c r="K39" s="28"/>
      <c r="L39" s="28"/>
      <c r="M39" s="26"/>
      <c r="N39" s="27"/>
      <c r="O39" s="26"/>
      <c r="P39" s="28"/>
      <c r="Q39" s="28"/>
      <c r="R39" s="26"/>
    </row>
    <row r="40" spans="1:18" x14ac:dyDescent="0.2">
      <c r="A40" s="26"/>
      <c r="B40" s="26"/>
      <c r="C40" s="26"/>
      <c r="D40" s="27"/>
      <c r="E40" s="26"/>
      <c r="F40" s="28"/>
      <c r="G40" s="28"/>
      <c r="H40" s="26"/>
      <c r="I40" s="27"/>
      <c r="J40" s="26"/>
      <c r="K40" s="28"/>
      <c r="L40" s="28"/>
      <c r="M40" s="26"/>
      <c r="N40" s="27"/>
      <c r="O40" s="26"/>
      <c r="P40" s="28"/>
      <c r="Q40" s="28"/>
      <c r="R40" s="26"/>
    </row>
    <row r="41" spans="1:18" x14ac:dyDescent="0.2">
      <c r="A41" s="26"/>
      <c r="B41" s="26"/>
      <c r="C41" s="26"/>
      <c r="D41" s="27"/>
      <c r="E41" s="26"/>
      <c r="F41" s="28"/>
      <c r="G41" s="28"/>
      <c r="H41" s="26"/>
      <c r="I41" s="27"/>
      <c r="J41" s="26"/>
      <c r="K41" s="28"/>
      <c r="L41" s="28"/>
      <c r="M41" s="26"/>
      <c r="N41" s="27"/>
      <c r="O41" s="26"/>
      <c r="P41" s="28"/>
      <c r="Q41" s="28"/>
      <c r="R41" s="26"/>
    </row>
    <row r="42" spans="1:18" x14ac:dyDescent="0.2">
      <c r="A42" s="26"/>
      <c r="B42" s="26"/>
      <c r="C42" s="26"/>
      <c r="D42" s="27"/>
      <c r="E42" s="26"/>
      <c r="F42" s="28"/>
      <c r="G42" s="28"/>
      <c r="H42" s="26"/>
      <c r="I42" s="27"/>
      <c r="J42" s="26"/>
      <c r="K42" s="28"/>
      <c r="L42" s="28"/>
      <c r="M42" s="26"/>
      <c r="N42" s="27"/>
      <c r="O42" s="26"/>
      <c r="P42" s="28"/>
      <c r="Q42" s="28"/>
      <c r="R42" s="26"/>
    </row>
    <row r="43" spans="1:18" x14ac:dyDescent="0.2">
      <c r="A43" s="26"/>
      <c r="B43" s="26"/>
      <c r="C43" s="26"/>
      <c r="D43" s="27"/>
      <c r="E43" s="26"/>
      <c r="F43" s="28"/>
      <c r="G43" s="28"/>
      <c r="H43" s="26"/>
      <c r="I43" s="27"/>
      <c r="J43" s="26"/>
      <c r="K43" s="28"/>
      <c r="L43" s="28"/>
      <c r="M43" s="26"/>
      <c r="N43" s="27"/>
      <c r="O43" s="26"/>
      <c r="P43" s="28"/>
      <c r="Q43" s="28"/>
      <c r="R43" s="26"/>
    </row>
    <row r="44" spans="1:18" x14ac:dyDescent="0.2">
      <c r="A44" s="26"/>
      <c r="B44" s="26"/>
      <c r="C44" s="26"/>
      <c r="D44" s="27"/>
      <c r="E44" s="26"/>
      <c r="F44" s="28"/>
      <c r="G44" s="28"/>
      <c r="H44" s="26"/>
      <c r="I44" s="27"/>
      <c r="J44" s="26"/>
      <c r="K44" s="28"/>
      <c r="L44" s="28"/>
      <c r="M44" s="26"/>
      <c r="N44" s="27"/>
      <c r="O44" s="26"/>
      <c r="P44" s="28"/>
      <c r="Q44" s="28"/>
      <c r="R44" s="26"/>
    </row>
    <row r="45" spans="1:18" x14ac:dyDescent="0.2">
      <c r="A45" s="26"/>
      <c r="B45" s="26"/>
      <c r="C45" s="26"/>
      <c r="D45" s="27"/>
      <c r="E45" s="26"/>
      <c r="F45" s="28"/>
      <c r="G45" s="28"/>
      <c r="H45" s="26"/>
      <c r="I45" s="27"/>
      <c r="J45" s="26"/>
      <c r="K45" s="28"/>
      <c r="L45" s="28"/>
      <c r="M45" s="26"/>
      <c r="N45" s="27"/>
      <c r="O45" s="26"/>
      <c r="P45" s="28"/>
      <c r="Q45" s="28"/>
      <c r="R45" s="26"/>
    </row>
    <row r="46" spans="1:18" x14ac:dyDescent="0.2">
      <c r="A46" s="26"/>
      <c r="B46" s="26"/>
      <c r="C46" s="26"/>
      <c r="D46" s="27"/>
      <c r="E46" s="26"/>
      <c r="F46" s="28"/>
      <c r="G46" s="28"/>
      <c r="H46" s="26"/>
      <c r="I46" s="27"/>
      <c r="J46" s="26"/>
      <c r="K46" s="28"/>
      <c r="L46" s="28"/>
      <c r="M46" s="26"/>
      <c r="N46" s="27"/>
      <c r="O46" s="26"/>
      <c r="P46" s="28"/>
      <c r="Q46" s="28"/>
      <c r="R46" s="26"/>
    </row>
    <row r="47" spans="1:18" x14ac:dyDescent="0.2">
      <c r="A47" s="26"/>
      <c r="B47" s="26"/>
      <c r="C47" s="26"/>
      <c r="D47" s="27"/>
      <c r="E47" s="26"/>
      <c r="F47" s="28"/>
      <c r="G47" s="28"/>
      <c r="H47" s="26"/>
      <c r="I47" s="27"/>
      <c r="J47" s="26"/>
      <c r="K47" s="28"/>
      <c r="L47" s="28"/>
      <c r="M47" s="26"/>
      <c r="N47" s="27"/>
      <c r="O47" s="26"/>
      <c r="P47" s="28"/>
      <c r="Q47" s="28"/>
      <c r="R47" s="26"/>
    </row>
    <row r="48" spans="1:18" x14ac:dyDescent="0.2">
      <c r="A48" s="26"/>
      <c r="B48" s="26"/>
      <c r="C48" s="26"/>
      <c r="D48" s="27"/>
      <c r="E48" s="26"/>
      <c r="F48" s="28"/>
      <c r="G48" s="28"/>
      <c r="H48" s="26"/>
      <c r="I48" s="27"/>
      <c r="J48" s="26"/>
      <c r="K48" s="28"/>
      <c r="L48" s="28"/>
      <c r="M48" s="26"/>
      <c r="N48" s="27"/>
      <c r="O48" s="26"/>
      <c r="P48" s="28"/>
      <c r="Q48" s="28"/>
      <c r="R48" s="26"/>
    </row>
    <row r="49" spans="1:18" x14ac:dyDescent="0.2">
      <c r="A49" s="26"/>
      <c r="B49" s="26"/>
      <c r="C49" s="26"/>
      <c r="D49" s="27"/>
      <c r="E49" s="26"/>
      <c r="F49" s="28"/>
      <c r="G49" s="28"/>
      <c r="H49" s="26"/>
      <c r="I49" s="27"/>
      <c r="J49" s="26"/>
      <c r="K49" s="28"/>
      <c r="L49" s="28"/>
      <c r="M49" s="26"/>
      <c r="N49" s="27"/>
      <c r="O49" s="26"/>
      <c r="P49" s="28"/>
      <c r="Q49" s="28"/>
      <c r="R49" s="26"/>
    </row>
    <row r="50" spans="1:18" x14ac:dyDescent="0.2">
      <c r="A50" s="26"/>
      <c r="B50" s="26"/>
      <c r="C50" s="26"/>
      <c r="D50" s="27"/>
      <c r="E50" s="26"/>
      <c r="F50" s="28"/>
      <c r="G50" s="28"/>
      <c r="H50" s="26"/>
      <c r="I50" s="27"/>
      <c r="J50" s="26"/>
      <c r="K50" s="28"/>
      <c r="L50" s="28"/>
      <c r="M50" s="26"/>
      <c r="N50" s="27"/>
      <c r="O50" s="26"/>
      <c r="P50" s="28"/>
      <c r="Q50" s="28"/>
      <c r="R50" s="26"/>
    </row>
    <row r="51" spans="1:18" x14ac:dyDescent="0.2">
      <c r="A51" s="26"/>
      <c r="B51" s="26"/>
      <c r="C51" s="26"/>
      <c r="D51" s="27"/>
      <c r="E51" s="26"/>
      <c r="F51" s="28"/>
      <c r="G51" s="28"/>
      <c r="H51" s="26"/>
      <c r="I51" s="27"/>
      <c r="J51" s="26"/>
      <c r="K51" s="28"/>
      <c r="L51" s="28"/>
      <c r="M51" s="26"/>
      <c r="N51" s="27"/>
      <c r="O51" s="26"/>
      <c r="P51" s="28"/>
      <c r="Q51" s="28"/>
      <c r="R51" s="26"/>
    </row>
    <row r="52" spans="1:18" x14ac:dyDescent="0.2">
      <c r="A52" s="26"/>
      <c r="B52" s="26"/>
      <c r="C52" s="26"/>
      <c r="D52" s="27"/>
      <c r="E52" s="26"/>
      <c r="F52" s="28"/>
      <c r="G52" s="28"/>
      <c r="H52" s="26"/>
      <c r="I52" s="27"/>
      <c r="J52" s="26"/>
      <c r="K52" s="28"/>
      <c r="L52" s="28"/>
      <c r="M52" s="26"/>
      <c r="N52" s="27"/>
      <c r="O52" s="26"/>
      <c r="P52" s="28"/>
      <c r="Q52" s="28"/>
      <c r="R52" s="26"/>
    </row>
    <row r="53" spans="1:18" x14ac:dyDescent="0.2">
      <c r="A53" s="26"/>
      <c r="B53" s="26"/>
      <c r="C53" s="26"/>
      <c r="D53" s="27"/>
      <c r="E53" s="26"/>
      <c r="F53" s="28"/>
      <c r="G53" s="28"/>
      <c r="H53" s="26"/>
      <c r="I53" s="27"/>
      <c r="J53" s="26"/>
      <c r="K53" s="28"/>
      <c r="L53" s="28"/>
      <c r="M53" s="26"/>
      <c r="N53" s="27"/>
      <c r="O53" s="26"/>
      <c r="P53" s="28"/>
      <c r="Q53" s="28"/>
      <c r="R53" s="26"/>
    </row>
    <row r="54" spans="1:18" x14ac:dyDescent="0.2">
      <c r="A54" s="26"/>
      <c r="B54" s="26"/>
      <c r="C54" s="26"/>
      <c r="D54" s="27"/>
      <c r="E54" s="26"/>
      <c r="F54" s="28"/>
      <c r="G54" s="28"/>
      <c r="H54" s="26"/>
      <c r="I54" s="27"/>
      <c r="J54" s="26"/>
      <c r="K54" s="28"/>
      <c r="L54" s="28"/>
      <c r="M54" s="26"/>
      <c r="N54" s="27"/>
      <c r="O54" s="26"/>
      <c r="P54" s="28"/>
      <c r="Q54" s="28"/>
      <c r="R54" s="26"/>
    </row>
    <row r="55" spans="1:18" x14ac:dyDescent="0.2">
      <c r="A55" s="26"/>
      <c r="B55" s="26"/>
      <c r="C55" s="26"/>
      <c r="D55" s="27"/>
      <c r="E55" s="26"/>
      <c r="F55" s="28"/>
      <c r="G55" s="28"/>
      <c r="H55" s="26"/>
      <c r="I55" s="27"/>
      <c r="J55" s="26"/>
      <c r="K55" s="28"/>
      <c r="L55" s="28"/>
      <c r="M55" s="26"/>
      <c r="N55" s="27"/>
      <c r="O55" s="26"/>
      <c r="P55" s="28"/>
      <c r="Q55" s="28"/>
      <c r="R55" s="26"/>
    </row>
    <row r="56" spans="1:18" x14ac:dyDescent="0.2">
      <c r="A56" s="26"/>
      <c r="B56" s="26"/>
      <c r="C56" s="26"/>
      <c r="D56" s="27"/>
      <c r="E56" s="26"/>
      <c r="F56" s="28"/>
      <c r="G56" s="28"/>
      <c r="H56" s="26"/>
      <c r="I56" s="27"/>
      <c r="J56" s="26"/>
      <c r="K56" s="28"/>
      <c r="L56" s="28"/>
      <c r="M56" s="26"/>
      <c r="N56" s="27"/>
      <c r="O56" s="26"/>
      <c r="P56" s="28"/>
      <c r="Q56" s="28"/>
      <c r="R56" s="26"/>
    </row>
    <row r="57" spans="1:18" x14ac:dyDescent="0.2">
      <c r="A57" s="26"/>
      <c r="B57" s="26"/>
      <c r="C57" s="26"/>
      <c r="D57" s="27"/>
      <c r="E57" s="26"/>
      <c r="F57" s="28"/>
      <c r="G57" s="28"/>
      <c r="H57" s="26"/>
      <c r="I57" s="27"/>
      <c r="J57" s="26"/>
      <c r="K57" s="28"/>
      <c r="L57" s="28"/>
      <c r="M57" s="26"/>
      <c r="N57" s="27"/>
      <c r="O57" s="26"/>
      <c r="P57" s="28"/>
      <c r="Q57" s="28"/>
      <c r="R57" s="26"/>
    </row>
    <row r="58" spans="1:18" x14ac:dyDescent="0.2">
      <c r="A58" s="26"/>
      <c r="B58" s="26"/>
      <c r="C58" s="26"/>
      <c r="D58" s="27"/>
      <c r="E58" s="26"/>
      <c r="F58" s="28"/>
      <c r="G58" s="28"/>
      <c r="H58" s="26"/>
      <c r="I58" s="27"/>
      <c r="J58" s="26"/>
      <c r="K58" s="28"/>
      <c r="L58" s="28"/>
      <c r="M58" s="26"/>
      <c r="N58" s="27"/>
      <c r="O58" s="26"/>
      <c r="P58" s="28"/>
      <c r="Q58" s="28"/>
      <c r="R58" s="26"/>
    </row>
    <row r="59" spans="1:18" x14ac:dyDescent="0.2">
      <c r="A59" s="26"/>
      <c r="B59" s="26"/>
      <c r="C59" s="26"/>
      <c r="D59" s="27"/>
      <c r="E59" s="26"/>
      <c r="F59" s="28"/>
      <c r="G59" s="28"/>
      <c r="H59" s="26"/>
      <c r="I59" s="27"/>
      <c r="J59" s="26"/>
      <c r="K59" s="28"/>
      <c r="L59" s="28"/>
      <c r="M59" s="26"/>
      <c r="N59" s="27"/>
      <c r="O59" s="26"/>
      <c r="P59" s="28"/>
      <c r="Q59" s="28"/>
      <c r="R59" s="26"/>
    </row>
    <row r="60" spans="1:18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</row>
    <row r="61" spans="1:18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</row>
    <row r="62" spans="1:18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</row>
    <row r="63" spans="1:18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</row>
  </sheetData>
  <mergeCells count="8">
    <mergeCell ref="A2:A3"/>
    <mergeCell ref="D13:G13"/>
    <mergeCell ref="I13:L13"/>
    <mergeCell ref="N13:Q13"/>
    <mergeCell ref="D14:D15"/>
    <mergeCell ref="E14:E15"/>
    <mergeCell ref="I14:I15"/>
    <mergeCell ref="N14:N1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421F2-1B43-46FB-8E59-A6BF696DCCF2}">
  <sheetPr codeName="Sheet5">
    <tabColor theme="5" tint="0.59999389629810485"/>
  </sheetPr>
  <dimension ref="A1"/>
  <sheetViews>
    <sheetView workbookViewId="0">
      <selection activeCell="N25" sqref="N25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B283A-A307-4364-ADB6-0517DEAD5DAA}">
  <sheetPr codeName="Sheet17">
    <tabColor theme="9" tint="0.59999389629810485"/>
  </sheetPr>
  <dimension ref="A1:AA63"/>
  <sheetViews>
    <sheetView tabSelected="1" topLeftCell="A8" zoomScale="180" workbookViewId="0">
      <selection activeCell="J16" sqref="J16:K16"/>
    </sheetView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customWidth="1"/>
    <col min="8" max="8" width="1.6640625" customWidth="1"/>
    <col min="9" max="9" width="13.6640625" customWidth="1"/>
    <col min="10" max="10" width="54.6640625" customWidth="1"/>
    <col min="12" max="12" width="1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customWidth="1"/>
    <col min="18" max="18" width="1.6640625" customWidth="1"/>
    <col min="19" max="19" width="13.6640625" customWidth="1"/>
    <col min="20" max="20" width="54.6640625" customWidth="1"/>
    <col min="21" max="21" width="9.5" bestFit="1" customWidth="1"/>
    <col min="22" max="22" width="11" customWidth="1"/>
    <col min="23" max="23" width="1.6640625" customWidth="1"/>
    <col min="24" max="24" width="13.6640625" customWidth="1"/>
    <col min="25" max="25" width="54.6640625" customWidth="1"/>
    <col min="26" max="26" width="9.5" bestFit="1" customWidth="1"/>
    <col min="27" max="27" width="11" customWidth="1"/>
  </cols>
  <sheetData>
    <row r="1" spans="1:27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7" x14ac:dyDescent="0.2">
      <c r="A2" s="247" t="s">
        <v>153</v>
      </c>
      <c r="B2" s="99"/>
      <c r="C2" s="26"/>
      <c r="D2" s="26"/>
      <c r="E2" s="69" t="s">
        <v>140</v>
      </c>
      <c r="F2" s="70" t="s">
        <v>90</v>
      </c>
      <c r="G2" s="70" t="s">
        <v>90</v>
      </c>
      <c r="H2" s="26"/>
      <c r="I2" s="26"/>
      <c r="J2" s="69"/>
      <c r="K2" s="70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</row>
    <row r="3" spans="1:27" x14ac:dyDescent="0.2">
      <c r="A3" s="248"/>
      <c r="B3" s="110">
        <f>Main!F7</f>
        <v>1</v>
      </c>
      <c r="C3" s="26"/>
      <c r="D3" s="26"/>
      <c r="E3" s="66" t="s">
        <v>151</v>
      </c>
      <c r="F3" s="67">
        <f>Z12/24</f>
        <v>14.083333333333334</v>
      </c>
      <c r="G3" s="67">
        <f>AA12/24</f>
        <v>0.54872049000000001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</row>
    <row r="4" spans="1:27" x14ac:dyDescent="0.2">
      <c r="A4" s="26"/>
      <c r="B4" s="106" t="s">
        <v>223</v>
      </c>
      <c r="C4" s="109" t="s">
        <v>222</v>
      </c>
      <c r="D4" s="60"/>
      <c r="E4" s="26"/>
      <c r="F4" s="64"/>
      <c r="G4" s="64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</row>
    <row r="5" spans="1:27" x14ac:dyDescent="0.2">
      <c r="A5" s="103" t="s">
        <v>192</v>
      </c>
      <c r="B5" s="104">
        <v>0</v>
      </c>
      <c r="C5" s="111">
        <v>0</v>
      </c>
      <c r="D5" s="105" t="s">
        <v>38</v>
      </c>
      <c r="E5" s="32"/>
      <c r="F5" s="68"/>
      <c r="G5" s="68"/>
      <c r="H5" s="26"/>
      <c r="I5" s="26"/>
      <c r="J5" s="71"/>
      <c r="K5" s="72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</row>
    <row r="6" spans="1:27" x14ac:dyDescent="0.2">
      <c r="A6" s="31" t="s">
        <v>193</v>
      </c>
      <c r="B6" s="102">
        <f>F3+F7*(IF(B2&lt;&gt;"",B2,B3)-1)</f>
        <v>14.083333333333334</v>
      </c>
      <c r="C6" s="112">
        <f>F3+G3+(F7+G7)*(IF(B2&lt;&gt;"",B2,B3)-1)</f>
        <v>14.632053823333333</v>
      </c>
      <c r="D6" s="33" t="s">
        <v>38</v>
      </c>
      <c r="E6" s="100" t="s">
        <v>120</v>
      </c>
      <c r="F6" s="70" t="s">
        <v>90</v>
      </c>
      <c r="G6" s="70" t="s">
        <v>90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</row>
    <row r="7" spans="1:27" x14ac:dyDescent="0.2">
      <c r="A7" s="26"/>
      <c r="B7" s="26"/>
      <c r="C7" s="26"/>
      <c r="D7" s="26"/>
      <c r="E7" s="30" t="s">
        <v>152</v>
      </c>
      <c r="F7" s="64">
        <f>F3+18/24</f>
        <v>14.833333333333334</v>
      </c>
      <c r="G7" s="97">
        <f>G3</f>
        <v>0.54872049000000001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7" x14ac:dyDescent="0.2">
      <c r="A8" s="26"/>
      <c r="B8" s="26"/>
      <c r="C8" s="26"/>
      <c r="D8" s="26"/>
      <c r="E8" s="31"/>
      <c r="F8" s="68"/>
      <c r="G8" s="98"/>
      <c r="H8" s="26"/>
      <c r="I8" s="26"/>
      <c r="J8" s="71"/>
      <c r="K8" s="72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</row>
    <row r="9" spans="1:27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</row>
    <row r="10" spans="1:27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</row>
    <row r="11" spans="1:27" ht="15" customHeight="1" x14ac:dyDescent="0.2">
      <c r="A11" s="148" t="s">
        <v>319</v>
      </c>
      <c r="B11" s="26"/>
      <c r="C11" s="26"/>
      <c r="D11" s="42" t="s">
        <v>269</v>
      </c>
      <c r="E11" s="43" t="s">
        <v>145</v>
      </c>
      <c r="F11" s="44"/>
      <c r="G11" s="44"/>
      <c r="H11" s="136"/>
      <c r="I11" s="42" t="s">
        <v>269</v>
      </c>
      <c r="J11" s="43" t="s">
        <v>146</v>
      </c>
      <c r="K11" s="44"/>
      <c r="L11" s="44"/>
      <c r="M11" s="136"/>
      <c r="N11" s="42" t="s">
        <v>270</v>
      </c>
      <c r="O11" s="43" t="s">
        <v>268</v>
      </c>
      <c r="P11" s="44"/>
      <c r="Q11" s="44"/>
      <c r="R11" s="136"/>
      <c r="S11" s="42" t="s">
        <v>270</v>
      </c>
      <c r="T11" s="43" t="s">
        <v>146</v>
      </c>
      <c r="U11" s="44"/>
      <c r="V11" s="44"/>
      <c r="W11" s="136"/>
      <c r="X11" s="42"/>
      <c r="Y11" s="43" t="s">
        <v>147</v>
      </c>
      <c r="Z11" s="44"/>
      <c r="AA11" s="44"/>
    </row>
    <row r="12" spans="1:27" x14ac:dyDescent="0.2">
      <c r="A12" s="259" t="s">
        <v>326</v>
      </c>
      <c r="B12" s="260"/>
      <c r="C12" s="26"/>
      <c r="D12" s="35" t="s">
        <v>112</v>
      </c>
      <c r="E12" s="36"/>
      <c r="F12" s="94">
        <f>SUM(F16:F59)</f>
        <v>29</v>
      </c>
      <c r="G12" s="94">
        <f>SUM(G16:G59)</f>
        <v>2.1766550711111106</v>
      </c>
      <c r="H12" s="136"/>
      <c r="I12" s="35" t="s">
        <v>112</v>
      </c>
      <c r="J12" s="36"/>
      <c r="K12" s="37">
        <f>SUM(K16:K59)</f>
        <v>56</v>
      </c>
      <c r="L12" s="94">
        <f>SUM(L16:L59)</f>
        <v>2.213108848888889</v>
      </c>
      <c r="M12" s="136"/>
      <c r="N12" s="35" t="s">
        <v>112</v>
      </c>
      <c r="O12" s="36"/>
      <c r="P12" s="37">
        <f>SUM(P16:P59)</f>
        <v>28</v>
      </c>
      <c r="Q12" s="94">
        <f>SUM(Q16:Q59)</f>
        <v>2.1766550711111106</v>
      </c>
      <c r="R12" s="136"/>
      <c r="S12" s="35" t="s">
        <v>112</v>
      </c>
      <c r="T12" s="36"/>
      <c r="U12" s="37">
        <f>SUM(U16:U59)</f>
        <v>50</v>
      </c>
      <c r="V12" s="94">
        <f>SUM(V16:V59)</f>
        <v>2.213108848888889</v>
      </c>
      <c r="W12" s="136"/>
      <c r="X12" s="35" t="s">
        <v>112</v>
      </c>
      <c r="Y12" s="36"/>
      <c r="Z12" s="37">
        <f>SUM(Z16:Z59)</f>
        <v>338</v>
      </c>
      <c r="AA12" s="94">
        <f>SUM(AA16:AA59)</f>
        <v>13.16929176</v>
      </c>
    </row>
    <row r="13" spans="1:27" x14ac:dyDescent="0.2">
      <c r="A13" s="260"/>
      <c r="B13" s="260"/>
      <c r="C13" s="26"/>
      <c r="D13" s="73"/>
      <c r="E13" s="74"/>
      <c r="F13" s="75"/>
      <c r="G13" s="75"/>
      <c r="H13" s="136"/>
      <c r="I13" s="73"/>
      <c r="J13" s="74"/>
      <c r="K13" s="75"/>
      <c r="L13" s="75"/>
      <c r="M13" s="136"/>
      <c r="N13" s="73"/>
      <c r="O13" s="74"/>
      <c r="P13" s="74"/>
      <c r="Q13" s="139"/>
      <c r="R13" s="136"/>
      <c r="S13" s="73"/>
      <c r="T13" s="74"/>
      <c r="U13" s="74"/>
      <c r="V13" s="139"/>
      <c r="W13" s="136"/>
      <c r="X13" s="73"/>
      <c r="Y13" s="74"/>
      <c r="Z13" s="74"/>
      <c r="AA13" s="139"/>
    </row>
    <row r="14" spans="1:27" ht="15" customHeight="1" x14ac:dyDescent="0.2">
      <c r="A14" s="260"/>
      <c r="B14" s="260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61" t="s">
        <v>83</v>
      </c>
      <c r="J14" s="137" t="s">
        <v>16</v>
      </c>
      <c r="K14" s="138" t="s">
        <v>17</v>
      </c>
      <c r="L14" s="138" t="s">
        <v>215</v>
      </c>
      <c r="M14" s="136"/>
      <c r="N14" s="249" t="s">
        <v>83</v>
      </c>
      <c r="O14" s="38" t="s">
        <v>16</v>
      </c>
      <c r="P14" s="39" t="s">
        <v>17</v>
      </c>
      <c r="Q14" s="39" t="s">
        <v>215</v>
      </c>
      <c r="R14" s="136"/>
      <c r="S14" s="249" t="s">
        <v>83</v>
      </c>
      <c r="T14" s="38" t="s">
        <v>16</v>
      </c>
      <c r="U14" s="39" t="s">
        <v>17</v>
      </c>
      <c r="V14" s="39" t="s">
        <v>215</v>
      </c>
      <c r="W14" s="136"/>
      <c r="X14" s="249" t="s">
        <v>83</v>
      </c>
      <c r="Y14" s="38" t="s">
        <v>16</v>
      </c>
      <c r="Z14" s="39" t="s">
        <v>17</v>
      </c>
      <c r="AA14" s="39" t="s">
        <v>215</v>
      </c>
    </row>
    <row r="15" spans="1:27" ht="15" customHeight="1" x14ac:dyDescent="0.2">
      <c r="A15" s="259"/>
      <c r="B15" s="260"/>
      <c r="C15" s="26"/>
      <c r="D15" s="250"/>
      <c r="E15" s="252"/>
      <c r="F15" s="41" t="s">
        <v>18</v>
      </c>
      <c r="G15" s="41" t="s">
        <v>18</v>
      </c>
      <c r="H15" s="26"/>
      <c r="I15" s="250"/>
      <c r="J15" s="40"/>
      <c r="K15" s="41" t="s">
        <v>18</v>
      </c>
      <c r="L15" s="41" t="s">
        <v>18</v>
      </c>
      <c r="M15" s="26"/>
      <c r="N15" s="250"/>
      <c r="O15" s="40"/>
      <c r="P15" s="41" t="s">
        <v>18</v>
      </c>
      <c r="Q15" s="41" t="s">
        <v>18</v>
      </c>
      <c r="R15" s="26"/>
      <c r="S15" s="250"/>
      <c r="T15" s="40"/>
      <c r="U15" s="41" t="s">
        <v>18</v>
      </c>
      <c r="V15" s="41" t="s">
        <v>18</v>
      </c>
      <c r="W15" s="26"/>
      <c r="X15" s="250"/>
      <c r="Y15" s="40"/>
      <c r="Z15" s="41" t="s">
        <v>18</v>
      </c>
      <c r="AA15" s="41" t="s">
        <v>18</v>
      </c>
    </row>
    <row r="16" spans="1:27" x14ac:dyDescent="0.2">
      <c r="A16" s="260"/>
      <c r="B16" s="260"/>
      <c r="C16" s="26"/>
      <c r="D16" s="27">
        <v>1</v>
      </c>
      <c r="E16" s="26" t="s">
        <v>19</v>
      </c>
      <c r="F16" s="28">
        <v>1</v>
      </c>
      <c r="G16" s="64"/>
      <c r="H16" s="26"/>
      <c r="I16" s="27">
        <v>1</v>
      </c>
      <c r="J16" s="26" t="s">
        <v>30</v>
      </c>
      <c r="K16" s="28">
        <v>6</v>
      </c>
      <c r="L16" s="28"/>
      <c r="M16" s="26"/>
      <c r="N16" s="27">
        <v>1</v>
      </c>
      <c r="O16" s="26" t="s">
        <v>19</v>
      </c>
      <c r="P16" s="28">
        <v>1</v>
      </c>
      <c r="Q16" s="64"/>
      <c r="R16" s="26"/>
      <c r="S16" s="27">
        <v>1</v>
      </c>
      <c r="T16" s="26" t="s">
        <v>30</v>
      </c>
      <c r="U16" s="28">
        <v>6</v>
      </c>
      <c r="V16" s="64"/>
      <c r="W16" s="26"/>
      <c r="X16" s="27">
        <v>1</v>
      </c>
      <c r="Y16" s="26" t="s">
        <v>271</v>
      </c>
      <c r="Z16" s="140">
        <f>F$12</f>
        <v>29</v>
      </c>
      <c r="AA16" s="64">
        <f>$G$12</f>
        <v>2.1766550711111106</v>
      </c>
    </row>
    <row r="17" spans="1:27" x14ac:dyDescent="0.2">
      <c r="A17" s="260"/>
      <c r="B17" s="260"/>
      <c r="C17" s="26"/>
      <c r="D17" s="27">
        <v>2</v>
      </c>
      <c r="E17" s="26" t="s">
        <v>20</v>
      </c>
      <c r="F17" s="28">
        <v>2</v>
      </c>
      <c r="G17" s="64">
        <f>'Unit Cell Details'!$F$46</f>
        <v>0.56239065666666666</v>
      </c>
      <c r="H17" s="26"/>
      <c r="I17" s="27">
        <v>2</v>
      </c>
      <c r="J17" s="26" t="s">
        <v>30</v>
      </c>
      <c r="K17" s="28">
        <v>6</v>
      </c>
      <c r="L17" s="28"/>
      <c r="M17" s="26"/>
      <c r="N17" s="27">
        <v>2</v>
      </c>
      <c r="O17" s="26" t="s">
        <v>20</v>
      </c>
      <c r="P17" s="28">
        <v>2</v>
      </c>
      <c r="Q17" s="64">
        <f>'Unit Cell Details'!$F$46</f>
        <v>0.56239065666666666</v>
      </c>
      <c r="R17" s="26"/>
      <c r="S17" s="27">
        <v>2</v>
      </c>
      <c r="T17" s="26" t="s">
        <v>30</v>
      </c>
      <c r="U17" s="28">
        <v>6</v>
      </c>
      <c r="V17" s="28"/>
      <c r="W17" s="26"/>
      <c r="X17" s="27">
        <v>2</v>
      </c>
      <c r="Y17" s="26" t="s">
        <v>35</v>
      </c>
      <c r="Z17" s="28">
        <v>18</v>
      </c>
      <c r="AA17" s="28"/>
    </row>
    <row r="18" spans="1:27" x14ac:dyDescent="0.2">
      <c r="A18" s="259"/>
      <c r="B18" s="260"/>
      <c r="C18" s="26"/>
      <c r="D18" s="27">
        <v>3</v>
      </c>
      <c r="E18" s="26" t="s">
        <v>21</v>
      </c>
      <c r="F18" s="28">
        <v>2</v>
      </c>
      <c r="G18" s="64">
        <f>'Unit Cell Details'!$F$46</f>
        <v>0.56239065666666666</v>
      </c>
      <c r="H18" s="26"/>
      <c r="I18" s="27">
        <v>3</v>
      </c>
      <c r="J18" s="26" t="s">
        <v>30</v>
      </c>
      <c r="K18" s="28">
        <v>6</v>
      </c>
      <c r="L18" s="28"/>
      <c r="M18" s="26"/>
      <c r="N18" s="27">
        <v>3</v>
      </c>
      <c r="O18" s="26" t="s">
        <v>21</v>
      </c>
      <c r="P18" s="28">
        <v>2</v>
      </c>
      <c r="Q18" s="64">
        <f>'Unit Cell Details'!$F$46</f>
        <v>0.56239065666666666</v>
      </c>
      <c r="R18" s="26"/>
      <c r="S18" s="27">
        <v>3</v>
      </c>
      <c r="T18" s="26" t="s">
        <v>31</v>
      </c>
      <c r="U18" s="28">
        <v>6</v>
      </c>
      <c r="V18" s="64"/>
      <c r="W18" s="26"/>
      <c r="X18" s="27">
        <v>3</v>
      </c>
      <c r="Y18" s="26" t="s">
        <v>272</v>
      </c>
      <c r="Z18" s="28">
        <f>K12</f>
        <v>56</v>
      </c>
      <c r="AA18" s="64">
        <f>L12</f>
        <v>2.213108848888889</v>
      </c>
    </row>
    <row r="19" spans="1:27" x14ac:dyDescent="0.2">
      <c r="A19" s="260"/>
      <c r="B19" s="260"/>
      <c r="C19" s="26"/>
      <c r="D19" s="27">
        <v>4</v>
      </c>
      <c r="E19" s="26" t="s">
        <v>22</v>
      </c>
      <c r="F19" s="28">
        <v>2</v>
      </c>
      <c r="G19" s="64">
        <f>'Unit Cell Details'!$F$46</f>
        <v>0.56239065666666666</v>
      </c>
      <c r="H19" s="26"/>
      <c r="I19" s="27">
        <v>4</v>
      </c>
      <c r="J19" s="26" t="s">
        <v>31</v>
      </c>
      <c r="K19" s="28">
        <v>6</v>
      </c>
      <c r="L19" s="28"/>
      <c r="M19" s="26"/>
      <c r="N19" s="27">
        <v>4</v>
      </c>
      <c r="O19" s="26" t="s">
        <v>22</v>
      </c>
      <c r="P19" s="28">
        <v>2</v>
      </c>
      <c r="Q19" s="64">
        <f>'Unit Cell Details'!$F$46</f>
        <v>0.56239065666666666</v>
      </c>
      <c r="R19" s="26"/>
      <c r="S19" s="27">
        <v>4</v>
      </c>
      <c r="T19" s="26" t="s">
        <v>32</v>
      </c>
      <c r="U19" s="28">
        <v>8</v>
      </c>
      <c r="V19" s="64">
        <f>'Unit Cell Details'!$F$46+'Unit Cell Details'!$F$49</f>
        <v>0.55327721222222226</v>
      </c>
      <c r="W19" s="26"/>
      <c r="X19" s="27">
        <v>4</v>
      </c>
      <c r="Y19" s="26" t="s">
        <v>143</v>
      </c>
      <c r="Z19" s="28">
        <v>18</v>
      </c>
      <c r="AA19" s="28"/>
    </row>
    <row r="20" spans="1:27" x14ac:dyDescent="0.2">
      <c r="A20" s="260"/>
      <c r="B20" s="260"/>
      <c r="C20" s="26"/>
      <c r="D20" s="27">
        <v>5</v>
      </c>
      <c r="E20" s="26" t="s">
        <v>180</v>
      </c>
      <c r="F20" s="28">
        <v>2</v>
      </c>
      <c r="G20" s="64">
        <f>'Unit Cell Details'!$F$46</f>
        <v>0.56239065666666666</v>
      </c>
      <c r="H20" s="26"/>
      <c r="I20" s="27">
        <v>5</v>
      </c>
      <c r="J20" s="26" t="s">
        <v>32</v>
      </c>
      <c r="K20" s="28">
        <v>8</v>
      </c>
      <c r="L20" s="64">
        <f>'Unit Cell Details'!$F$46+'Unit Cell Details'!$F$49</f>
        <v>0.55327721222222226</v>
      </c>
      <c r="M20" s="26"/>
      <c r="N20" s="27">
        <v>5</v>
      </c>
      <c r="O20" s="26" t="s">
        <v>180</v>
      </c>
      <c r="P20" s="28">
        <v>2</v>
      </c>
      <c r="Q20" s="64">
        <f>'Unit Cell Details'!$F$46</f>
        <v>0.56239065666666666</v>
      </c>
      <c r="R20" s="26"/>
      <c r="S20" s="27">
        <v>5</v>
      </c>
      <c r="T20" s="26" t="s">
        <v>33</v>
      </c>
      <c r="U20" s="28">
        <v>8</v>
      </c>
      <c r="V20" s="64">
        <f>'Unit Cell Details'!$F$46+'Unit Cell Details'!$F$49</f>
        <v>0.55327721222222226</v>
      </c>
      <c r="W20" s="26"/>
      <c r="X20" s="27">
        <v>5</v>
      </c>
      <c r="Y20" s="26" t="s">
        <v>271</v>
      </c>
      <c r="Z20" s="140">
        <f>$F$12</f>
        <v>29</v>
      </c>
      <c r="AA20" s="64">
        <f>$G$12</f>
        <v>2.1766550711111106</v>
      </c>
    </row>
    <row r="21" spans="1:27" x14ac:dyDescent="0.2">
      <c r="A21" s="26"/>
      <c r="B21" s="26"/>
      <c r="C21" s="26"/>
      <c r="D21" s="27">
        <v>6</v>
      </c>
      <c r="E21" s="26" t="s">
        <v>23</v>
      </c>
      <c r="F21" s="28">
        <v>1.5</v>
      </c>
      <c r="G21" s="64">
        <f>'Unit Cell Details'!$F$49</f>
        <v>-9.1134444444444448E-3</v>
      </c>
      <c r="H21" s="26"/>
      <c r="I21" s="27">
        <v>6</v>
      </c>
      <c r="J21" s="26" t="s">
        <v>33</v>
      </c>
      <c r="K21" s="28">
        <v>8</v>
      </c>
      <c r="L21" s="64">
        <f>'Unit Cell Details'!$F$46+'Unit Cell Details'!$F$49</f>
        <v>0.55327721222222226</v>
      </c>
      <c r="M21" s="26"/>
      <c r="N21" s="27">
        <v>6</v>
      </c>
      <c r="O21" s="26" t="s">
        <v>23</v>
      </c>
      <c r="P21" s="28">
        <v>1.5</v>
      </c>
      <c r="Q21" s="64">
        <f>'Unit Cell Details'!$F$49</f>
        <v>-9.1134444444444448E-3</v>
      </c>
      <c r="R21" s="26"/>
      <c r="S21" s="27">
        <v>6</v>
      </c>
      <c r="T21" s="26" t="s">
        <v>34</v>
      </c>
      <c r="U21" s="28">
        <v>8</v>
      </c>
      <c r="V21" s="64">
        <f>'Unit Cell Details'!$F$46+'Unit Cell Details'!$F$49</f>
        <v>0.55327721222222226</v>
      </c>
      <c r="W21" s="26"/>
      <c r="X21" s="27">
        <v>6</v>
      </c>
      <c r="Y21" s="26" t="s">
        <v>35</v>
      </c>
      <c r="Z21" s="28">
        <v>18</v>
      </c>
      <c r="AA21" s="28"/>
    </row>
    <row r="22" spans="1:27" x14ac:dyDescent="0.2">
      <c r="A22" s="26"/>
      <c r="B22" s="26"/>
      <c r="C22" s="26"/>
      <c r="D22" s="27">
        <v>7</v>
      </c>
      <c r="E22" s="26" t="s">
        <v>23</v>
      </c>
      <c r="F22" s="28">
        <v>1.5</v>
      </c>
      <c r="G22" s="64">
        <f>'Unit Cell Details'!$F$49</f>
        <v>-9.1134444444444448E-3</v>
      </c>
      <c r="H22" s="26"/>
      <c r="I22" s="27">
        <v>7</v>
      </c>
      <c r="J22" s="26" t="s">
        <v>34</v>
      </c>
      <c r="K22" s="28">
        <v>8</v>
      </c>
      <c r="L22" s="64">
        <f>'Unit Cell Details'!$F$46+'Unit Cell Details'!$F$49</f>
        <v>0.55327721222222226</v>
      </c>
      <c r="M22" s="26"/>
      <c r="N22" s="27">
        <v>7</v>
      </c>
      <c r="O22" s="26" t="s">
        <v>23</v>
      </c>
      <c r="P22" s="28">
        <v>1.5</v>
      </c>
      <c r="Q22" s="64">
        <f>'Unit Cell Details'!$F$49</f>
        <v>-9.1134444444444448E-3</v>
      </c>
      <c r="R22" s="26"/>
      <c r="S22" s="27">
        <v>7</v>
      </c>
      <c r="T22" s="26" t="s">
        <v>182</v>
      </c>
      <c r="U22" s="28">
        <v>8</v>
      </c>
      <c r="V22" s="64">
        <f>'Unit Cell Details'!$F$46+'Unit Cell Details'!$F$49</f>
        <v>0.55327721222222226</v>
      </c>
      <c r="W22" s="26"/>
      <c r="X22" s="27">
        <v>7</v>
      </c>
      <c r="Y22" s="26" t="s">
        <v>272</v>
      </c>
      <c r="Z22" s="140">
        <f>K12</f>
        <v>56</v>
      </c>
      <c r="AA22" s="64">
        <f>L12</f>
        <v>2.213108848888889</v>
      </c>
    </row>
    <row r="23" spans="1:27" x14ac:dyDescent="0.2">
      <c r="A23" s="26"/>
      <c r="B23" s="26"/>
      <c r="C23" s="26"/>
      <c r="D23" s="27">
        <v>8</v>
      </c>
      <c r="E23" s="26" t="s">
        <v>23</v>
      </c>
      <c r="F23" s="28">
        <v>1.5</v>
      </c>
      <c r="G23" s="64">
        <f>'Unit Cell Details'!$F$49</f>
        <v>-9.1134444444444448E-3</v>
      </c>
      <c r="H23" s="26"/>
      <c r="I23" s="27">
        <v>8</v>
      </c>
      <c r="J23" s="26" t="s">
        <v>182</v>
      </c>
      <c r="K23" s="28">
        <v>8</v>
      </c>
      <c r="L23" s="64">
        <f>'Unit Cell Details'!$F$46+'Unit Cell Details'!$F$49</f>
        <v>0.55327721222222226</v>
      </c>
      <c r="M23" s="26"/>
      <c r="N23" s="27">
        <v>8</v>
      </c>
      <c r="O23" s="26" t="s">
        <v>23</v>
      </c>
      <c r="P23" s="28">
        <v>1.5</v>
      </c>
      <c r="Q23" s="64">
        <f>'Unit Cell Details'!$F$49</f>
        <v>-9.1134444444444448E-3</v>
      </c>
      <c r="R23" s="26"/>
      <c r="S23" s="27"/>
      <c r="T23" s="26"/>
      <c r="U23" s="28"/>
      <c r="V23" s="28"/>
      <c r="W23" s="26"/>
      <c r="X23" s="27">
        <v>8</v>
      </c>
      <c r="Y23" s="26" t="s">
        <v>143</v>
      </c>
      <c r="Z23" s="28">
        <v>18</v>
      </c>
      <c r="AA23" s="28"/>
    </row>
    <row r="24" spans="1:27" x14ac:dyDescent="0.2">
      <c r="A24" s="26"/>
      <c r="B24" s="26"/>
      <c r="C24" s="26"/>
      <c r="D24" s="27">
        <v>9</v>
      </c>
      <c r="E24" s="26" t="s">
        <v>23</v>
      </c>
      <c r="F24" s="28">
        <v>1.5</v>
      </c>
      <c r="G24" s="64">
        <f>'Unit Cell Details'!$F$49</f>
        <v>-9.1134444444444448E-3</v>
      </c>
      <c r="H24" s="26"/>
      <c r="I24" s="27"/>
      <c r="J24" s="26"/>
      <c r="K24" s="28"/>
      <c r="L24" s="28"/>
      <c r="M24" s="26"/>
      <c r="N24" s="27">
        <v>9</v>
      </c>
      <c r="O24" s="26" t="s">
        <v>23</v>
      </c>
      <c r="P24" s="28">
        <v>1.5</v>
      </c>
      <c r="Q24" s="64">
        <f>'Unit Cell Details'!$F$49</f>
        <v>-9.1134444444444448E-3</v>
      </c>
      <c r="R24" s="26"/>
      <c r="S24" s="27"/>
      <c r="T24" s="26"/>
      <c r="U24" s="28"/>
      <c r="V24" s="64"/>
      <c r="W24" s="26"/>
      <c r="X24" s="27">
        <v>9</v>
      </c>
      <c r="Y24" s="26" t="s">
        <v>273</v>
      </c>
      <c r="Z24" s="28">
        <f>P12</f>
        <v>28</v>
      </c>
      <c r="AA24" s="64">
        <f>Q12</f>
        <v>2.1766550711111106</v>
      </c>
    </row>
    <row r="25" spans="1:27" x14ac:dyDescent="0.2">
      <c r="A25" s="26"/>
      <c r="B25" s="26"/>
      <c r="C25" s="26"/>
      <c r="D25" s="27">
        <v>10</v>
      </c>
      <c r="E25" s="26" t="s">
        <v>23</v>
      </c>
      <c r="F25" s="28">
        <v>1.5</v>
      </c>
      <c r="G25" s="64">
        <f>'Unit Cell Details'!$F$49</f>
        <v>-9.1134444444444448E-3</v>
      </c>
      <c r="H25" s="26"/>
      <c r="I25" s="27"/>
      <c r="J25" s="26"/>
      <c r="K25" s="28"/>
      <c r="L25" s="28"/>
      <c r="M25" s="26"/>
      <c r="N25" s="27">
        <v>10</v>
      </c>
      <c r="O25" s="26" t="s">
        <v>23</v>
      </c>
      <c r="P25" s="28">
        <v>1.5</v>
      </c>
      <c r="Q25" s="64">
        <f>'Unit Cell Details'!$F$49</f>
        <v>-9.1134444444444448E-3</v>
      </c>
      <c r="R25" s="26"/>
      <c r="S25" s="27"/>
      <c r="T25" s="26"/>
      <c r="U25" s="28"/>
      <c r="V25" s="28"/>
      <c r="W25" s="26"/>
      <c r="X25" s="27">
        <v>10</v>
      </c>
      <c r="Y25" s="26" t="s">
        <v>35</v>
      </c>
      <c r="Z25" s="28">
        <v>18</v>
      </c>
      <c r="AA25" s="64"/>
    </row>
    <row r="26" spans="1:27" x14ac:dyDescent="0.2">
      <c r="A26" s="26"/>
      <c r="B26" s="26"/>
      <c r="C26" s="26"/>
      <c r="D26" s="27">
        <v>11</v>
      </c>
      <c r="E26" s="26" t="s">
        <v>23</v>
      </c>
      <c r="F26" s="28">
        <v>1.5</v>
      </c>
      <c r="G26" s="64">
        <f>'Unit Cell Details'!$F$49</f>
        <v>-9.1134444444444448E-3</v>
      </c>
      <c r="H26" s="26"/>
      <c r="I26" s="27"/>
      <c r="J26" s="26"/>
      <c r="K26" s="28"/>
      <c r="L26" s="28"/>
      <c r="M26" s="26"/>
      <c r="N26" s="27">
        <v>11</v>
      </c>
      <c r="O26" s="26" t="s">
        <v>23</v>
      </c>
      <c r="P26" s="28">
        <v>1.5</v>
      </c>
      <c r="Q26" s="64">
        <f>'Unit Cell Details'!$F$49</f>
        <v>-9.1134444444444448E-3</v>
      </c>
      <c r="R26" s="26"/>
      <c r="S26" s="27"/>
      <c r="T26" s="26"/>
      <c r="U26" s="28"/>
      <c r="V26" s="64"/>
      <c r="W26" s="26"/>
      <c r="X26" s="27">
        <v>11</v>
      </c>
      <c r="Y26" s="26" t="s">
        <v>274</v>
      </c>
      <c r="Z26" s="28">
        <f>U12</f>
        <v>50</v>
      </c>
      <c r="AA26" s="64">
        <f>V12</f>
        <v>2.213108848888889</v>
      </c>
    </row>
    <row r="27" spans="1:27" x14ac:dyDescent="0.2">
      <c r="A27" s="26"/>
      <c r="B27" s="26"/>
      <c r="C27" s="26"/>
      <c r="D27" s="27">
        <v>12</v>
      </c>
      <c r="E27" s="26" t="s">
        <v>23</v>
      </c>
      <c r="F27" s="28">
        <v>1.5</v>
      </c>
      <c r="G27" s="64">
        <f>'Unit Cell Details'!$F$49</f>
        <v>-9.1134444444444448E-3</v>
      </c>
      <c r="H27" s="26"/>
      <c r="I27" s="27"/>
      <c r="J27" s="26"/>
      <c r="K27" s="28"/>
      <c r="L27" s="28"/>
      <c r="M27" s="26"/>
      <c r="N27" s="27">
        <v>12</v>
      </c>
      <c r="O27" s="26" t="s">
        <v>23</v>
      </c>
      <c r="P27" s="28">
        <v>1.5</v>
      </c>
      <c r="Q27" s="64">
        <f>'Unit Cell Details'!$F$49</f>
        <v>-9.1134444444444448E-3</v>
      </c>
      <c r="R27" s="26"/>
      <c r="S27" s="27"/>
      <c r="T27" s="26"/>
      <c r="U27" s="28"/>
      <c r="V27" s="28"/>
      <c r="W27" s="26"/>
      <c r="X27" s="27"/>
      <c r="Y27" s="26"/>
      <c r="Z27" s="28"/>
      <c r="AA27" s="64"/>
    </row>
    <row r="28" spans="1:27" x14ac:dyDescent="0.2">
      <c r="A28" s="26"/>
      <c r="B28" s="26"/>
      <c r="C28" s="26"/>
      <c r="D28" s="27">
        <v>13</v>
      </c>
      <c r="E28" s="26" t="s">
        <v>23</v>
      </c>
      <c r="F28" s="28">
        <v>1.5</v>
      </c>
      <c r="G28" s="64">
        <f>'Unit Cell Details'!$F$49</f>
        <v>-9.1134444444444448E-3</v>
      </c>
      <c r="H28" s="26"/>
      <c r="I28" s="27"/>
      <c r="J28" s="26"/>
      <c r="K28" s="28"/>
      <c r="L28" s="28"/>
      <c r="M28" s="26"/>
      <c r="N28" s="27">
        <v>13</v>
      </c>
      <c r="O28" s="26" t="s">
        <v>23</v>
      </c>
      <c r="P28" s="28">
        <v>1.5</v>
      </c>
      <c r="Q28" s="64">
        <f>'Unit Cell Details'!$F$49</f>
        <v>-9.1134444444444448E-3</v>
      </c>
      <c r="R28" s="26"/>
      <c r="S28" s="27"/>
      <c r="T28" s="26"/>
      <c r="U28" s="28"/>
      <c r="V28" s="64"/>
      <c r="W28" s="26"/>
      <c r="X28" s="27"/>
      <c r="Y28" s="26"/>
      <c r="Z28" s="28"/>
      <c r="AA28" s="64"/>
    </row>
    <row r="29" spans="1:27" x14ac:dyDescent="0.2">
      <c r="A29" s="26"/>
      <c r="B29" s="26"/>
      <c r="C29" s="26"/>
      <c r="D29" s="27">
        <v>14</v>
      </c>
      <c r="E29" s="26" t="s">
        <v>24</v>
      </c>
      <c r="F29" s="28">
        <v>1</v>
      </c>
      <c r="G29" s="28"/>
      <c r="H29" s="26"/>
      <c r="I29" s="27"/>
      <c r="J29" s="26"/>
      <c r="K29" s="28"/>
      <c r="L29" s="28"/>
      <c r="M29" s="26"/>
      <c r="N29" s="27">
        <v>14</v>
      </c>
      <c r="O29" s="26" t="s">
        <v>24</v>
      </c>
      <c r="P29" s="28">
        <v>1</v>
      </c>
      <c r="Q29" s="28"/>
      <c r="R29" s="26"/>
      <c r="S29" s="27"/>
      <c r="T29" s="26"/>
      <c r="U29" s="28"/>
      <c r="V29" s="28"/>
      <c r="W29" s="26"/>
      <c r="X29" s="27"/>
      <c r="Y29" s="26"/>
      <c r="Z29" s="28"/>
      <c r="AA29" s="28"/>
    </row>
    <row r="30" spans="1:27" x14ac:dyDescent="0.2">
      <c r="A30" s="26"/>
      <c r="B30" s="26"/>
      <c r="C30" s="26"/>
      <c r="D30" s="27">
        <v>15</v>
      </c>
      <c r="E30" s="26" t="s">
        <v>24</v>
      </c>
      <c r="F30" s="28">
        <v>1</v>
      </c>
      <c r="G30" s="28"/>
      <c r="H30" s="26"/>
      <c r="I30" s="27"/>
      <c r="J30" s="26"/>
      <c r="K30" s="28"/>
      <c r="L30" s="28"/>
      <c r="M30" s="26"/>
      <c r="N30" s="27">
        <v>15</v>
      </c>
      <c r="O30" s="26" t="s">
        <v>24</v>
      </c>
      <c r="P30" s="28">
        <v>1</v>
      </c>
      <c r="Q30" s="64"/>
      <c r="R30" s="26"/>
      <c r="S30" s="27"/>
      <c r="T30" s="26"/>
      <c r="U30" s="28"/>
      <c r="V30" s="64"/>
      <c r="W30" s="26"/>
      <c r="X30" s="27"/>
      <c r="Y30" s="26"/>
      <c r="Z30" s="28"/>
      <c r="AA30" s="64"/>
    </row>
    <row r="31" spans="1:27" x14ac:dyDescent="0.2">
      <c r="A31" s="26"/>
      <c r="B31" s="26"/>
      <c r="C31" s="26"/>
      <c r="D31" s="27">
        <v>16</v>
      </c>
      <c r="E31" s="26" t="s">
        <v>24</v>
      </c>
      <c r="F31" s="28">
        <v>1</v>
      </c>
      <c r="G31" s="28"/>
      <c r="H31" s="26"/>
      <c r="I31" s="27"/>
      <c r="J31" s="26"/>
      <c r="K31" s="28"/>
      <c r="L31" s="28"/>
      <c r="M31" s="26"/>
      <c r="N31" s="27">
        <v>16</v>
      </c>
      <c r="O31" s="26" t="s">
        <v>25</v>
      </c>
      <c r="P31" s="28">
        <v>2</v>
      </c>
      <c r="Q31" s="28"/>
      <c r="R31" s="26"/>
      <c r="S31" s="27"/>
      <c r="T31" s="26"/>
      <c r="U31" s="28"/>
      <c r="V31" s="28"/>
      <c r="W31" s="26"/>
      <c r="X31" s="27"/>
      <c r="Y31" s="26"/>
      <c r="Z31" s="28"/>
      <c r="AA31" s="28"/>
    </row>
    <row r="32" spans="1:27" x14ac:dyDescent="0.2">
      <c r="A32" s="26"/>
      <c r="B32" s="26"/>
      <c r="C32" s="26"/>
      <c r="D32" s="27">
        <v>17</v>
      </c>
      <c r="E32" s="26" t="s">
        <v>25</v>
      </c>
      <c r="F32" s="28">
        <v>2</v>
      </c>
      <c r="G32" s="28"/>
      <c r="H32" s="26"/>
      <c r="I32" s="27"/>
      <c r="J32" s="26"/>
      <c r="K32" s="28"/>
      <c r="L32" s="28"/>
      <c r="M32" s="26"/>
      <c r="N32" s="27">
        <v>17</v>
      </c>
      <c r="O32" s="26" t="s">
        <v>26</v>
      </c>
      <c r="P32" s="28">
        <v>3</v>
      </c>
      <c r="Q32" s="28"/>
      <c r="R32" s="26"/>
      <c r="S32" s="27"/>
      <c r="T32" s="26"/>
      <c r="U32" s="28"/>
      <c r="V32" s="28"/>
      <c r="W32" s="26"/>
      <c r="X32" s="27"/>
      <c r="Y32" s="26" t="s">
        <v>148</v>
      </c>
      <c r="Z32" s="28"/>
      <c r="AA32" s="28"/>
    </row>
    <row r="33" spans="1:27" x14ac:dyDescent="0.2">
      <c r="A33" s="26"/>
      <c r="B33" s="26"/>
      <c r="C33" s="26"/>
      <c r="D33" s="27">
        <v>18</v>
      </c>
      <c r="E33" s="26" t="s">
        <v>26</v>
      </c>
      <c r="F33" s="28">
        <v>3</v>
      </c>
      <c r="G33" s="28"/>
      <c r="H33" s="26"/>
      <c r="I33" s="27"/>
      <c r="J33" s="26"/>
      <c r="K33" s="28"/>
      <c r="L33" s="28"/>
      <c r="M33" s="26"/>
      <c r="N33" s="27"/>
      <c r="O33" s="26"/>
      <c r="P33" s="28"/>
      <c r="Q33" s="28"/>
      <c r="R33" s="26"/>
      <c r="S33" s="27"/>
      <c r="T33" s="26"/>
      <c r="U33" s="28"/>
      <c r="V33" s="28"/>
      <c r="W33" s="26"/>
      <c r="X33" s="27"/>
      <c r="Y33" s="26"/>
      <c r="Z33" s="28"/>
      <c r="AA33" s="28"/>
    </row>
    <row r="34" spans="1:27" x14ac:dyDescent="0.2">
      <c r="A34" s="26"/>
      <c r="B34" s="26"/>
      <c r="C34" s="26"/>
      <c r="D34" s="27"/>
      <c r="E34" s="26"/>
      <c r="F34" s="28"/>
      <c r="G34" s="28"/>
      <c r="H34" s="26"/>
      <c r="I34" s="27"/>
      <c r="J34" s="26"/>
      <c r="K34" s="28"/>
      <c r="L34" s="28"/>
      <c r="M34" s="26"/>
      <c r="N34" s="27"/>
      <c r="O34" s="26"/>
      <c r="P34" s="28"/>
      <c r="Q34" s="28"/>
      <c r="R34" s="26"/>
      <c r="S34" s="27"/>
      <c r="T34" s="26"/>
      <c r="U34" s="28"/>
      <c r="V34" s="28"/>
      <c r="W34" s="26"/>
      <c r="X34" s="27"/>
      <c r="Y34" s="26"/>
      <c r="Z34" s="28"/>
      <c r="AA34" s="28"/>
    </row>
    <row r="35" spans="1:27" x14ac:dyDescent="0.2">
      <c r="A35" s="26"/>
      <c r="B35" s="26"/>
      <c r="C35" s="26"/>
      <c r="D35" s="27"/>
      <c r="E35" s="26"/>
      <c r="F35" s="28"/>
      <c r="G35" s="28"/>
      <c r="H35" s="26"/>
      <c r="I35" s="27"/>
      <c r="J35" s="26"/>
      <c r="K35" s="28"/>
      <c r="L35" s="28"/>
      <c r="M35" s="26"/>
      <c r="N35" s="27"/>
      <c r="O35" s="26"/>
      <c r="P35" s="28"/>
      <c r="Q35" s="28"/>
      <c r="R35" s="26"/>
      <c r="S35" s="27"/>
      <c r="T35" s="26"/>
      <c r="U35" s="28"/>
      <c r="V35" s="28"/>
      <c r="W35" s="26"/>
      <c r="X35" s="27"/>
      <c r="Y35" s="26"/>
      <c r="Z35" s="28"/>
      <c r="AA35" s="28"/>
    </row>
    <row r="36" spans="1:27" x14ac:dyDescent="0.2">
      <c r="A36" s="26"/>
      <c r="B36" s="26"/>
      <c r="C36" s="26"/>
      <c r="D36" s="27"/>
      <c r="E36" s="26"/>
      <c r="F36" s="28"/>
      <c r="G36" s="28"/>
      <c r="H36" s="26"/>
      <c r="I36" s="27"/>
      <c r="J36" s="26"/>
      <c r="K36" s="28"/>
      <c r="L36" s="28"/>
      <c r="M36" s="26"/>
      <c r="N36" s="27"/>
      <c r="O36" s="26"/>
      <c r="P36" s="28"/>
      <c r="Q36" s="28"/>
      <c r="R36" s="26"/>
      <c r="S36" s="27"/>
      <c r="T36" s="26"/>
      <c r="U36" s="28"/>
      <c r="V36" s="28"/>
      <c r="W36" s="26"/>
      <c r="X36" s="27"/>
      <c r="Y36" s="26"/>
      <c r="Z36" s="28"/>
      <c r="AA36" s="28"/>
    </row>
    <row r="37" spans="1:27" x14ac:dyDescent="0.2">
      <c r="A37" s="26"/>
      <c r="B37" s="26"/>
      <c r="C37" s="26"/>
      <c r="D37" s="27"/>
      <c r="E37" s="26"/>
      <c r="F37" s="28"/>
      <c r="G37" s="28"/>
      <c r="H37" s="26"/>
      <c r="I37" s="27"/>
      <c r="J37" s="26"/>
      <c r="K37" s="28"/>
      <c r="L37" s="28"/>
      <c r="M37" s="26"/>
      <c r="N37" s="27"/>
      <c r="O37" s="26"/>
      <c r="P37" s="28"/>
      <c r="Q37" s="28"/>
      <c r="R37" s="26"/>
      <c r="S37" s="27"/>
      <c r="T37" s="26"/>
      <c r="U37" s="28"/>
      <c r="V37" s="28"/>
      <c r="W37" s="26"/>
      <c r="X37" s="27"/>
      <c r="Y37" s="26"/>
      <c r="Z37" s="28"/>
      <c r="AA37" s="28"/>
    </row>
    <row r="38" spans="1:27" x14ac:dyDescent="0.2">
      <c r="A38" s="26"/>
      <c r="B38" s="26"/>
      <c r="C38" s="26"/>
      <c r="D38" s="27"/>
      <c r="E38" s="26"/>
      <c r="F38" s="28"/>
      <c r="G38" s="28"/>
      <c r="H38" s="26"/>
      <c r="I38" s="27"/>
      <c r="J38" s="26"/>
      <c r="K38" s="28"/>
      <c r="L38" s="28"/>
      <c r="M38" s="26"/>
      <c r="N38" s="27"/>
      <c r="O38" s="26"/>
      <c r="P38" s="28"/>
      <c r="Q38" s="28"/>
      <c r="R38" s="26"/>
      <c r="S38" s="27"/>
      <c r="T38" s="26"/>
      <c r="U38" s="28"/>
      <c r="V38" s="28"/>
      <c r="W38" s="26"/>
      <c r="X38" s="27"/>
      <c r="Y38" s="26"/>
      <c r="Z38" s="28"/>
      <c r="AA38" s="28"/>
    </row>
    <row r="39" spans="1:27" x14ac:dyDescent="0.2">
      <c r="A39" s="26"/>
      <c r="B39" s="26"/>
      <c r="C39" s="26"/>
      <c r="D39" s="27"/>
      <c r="E39" s="26"/>
      <c r="F39" s="28"/>
      <c r="G39" s="28"/>
      <c r="H39" s="26"/>
      <c r="I39" s="27"/>
      <c r="J39" s="26"/>
      <c r="K39" s="28"/>
      <c r="L39" s="28"/>
      <c r="M39" s="26"/>
      <c r="N39" s="27"/>
      <c r="O39" s="26"/>
      <c r="P39" s="28"/>
      <c r="Q39" s="28"/>
      <c r="R39" s="26"/>
      <c r="S39" s="27"/>
      <c r="T39" s="26"/>
      <c r="U39" s="28"/>
      <c r="V39" s="28"/>
      <c r="W39" s="26"/>
      <c r="X39" s="27"/>
      <c r="Y39" s="26"/>
      <c r="Z39" s="28"/>
      <c r="AA39" s="28"/>
    </row>
    <row r="40" spans="1:27" x14ac:dyDescent="0.2">
      <c r="A40" s="26"/>
      <c r="B40" s="26"/>
      <c r="C40" s="26"/>
      <c r="D40" s="27"/>
      <c r="E40" s="26"/>
      <c r="F40" s="28"/>
      <c r="G40" s="28"/>
      <c r="H40" s="26"/>
      <c r="I40" s="27"/>
      <c r="J40" s="26"/>
      <c r="K40" s="28"/>
      <c r="L40" s="28"/>
      <c r="M40" s="26"/>
      <c r="N40" s="27"/>
      <c r="O40" s="26"/>
      <c r="P40" s="28"/>
      <c r="Q40" s="28"/>
      <c r="R40" s="26"/>
      <c r="S40" s="27"/>
      <c r="T40" s="26"/>
      <c r="U40" s="28"/>
      <c r="V40" s="28"/>
      <c r="W40" s="26"/>
      <c r="X40" s="27"/>
      <c r="Y40" s="26"/>
      <c r="Z40" s="28"/>
      <c r="AA40" s="28"/>
    </row>
    <row r="41" spans="1:27" x14ac:dyDescent="0.2">
      <c r="A41" s="26"/>
      <c r="B41" s="26"/>
      <c r="C41" s="26"/>
      <c r="D41" s="27"/>
      <c r="E41" s="26"/>
      <c r="F41" s="28"/>
      <c r="G41" s="28"/>
      <c r="H41" s="26"/>
      <c r="I41" s="27"/>
      <c r="J41" s="26"/>
      <c r="K41" s="28"/>
      <c r="L41" s="28"/>
      <c r="M41" s="26"/>
      <c r="N41" s="27"/>
      <c r="O41" s="26"/>
      <c r="P41" s="28"/>
      <c r="Q41" s="28"/>
      <c r="R41" s="26"/>
      <c r="S41" s="27"/>
      <c r="T41" s="26"/>
      <c r="U41" s="28"/>
      <c r="V41" s="28"/>
      <c r="W41" s="26"/>
      <c r="X41" s="27"/>
      <c r="Y41" s="26"/>
      <c r="Z41" s="28"/>
      <c r="AA41" s="28"/>
    </row>
    <row r="42" spans="1:27" x14ac:dyDescent="0.2">
      <c r="A42" s="26"/>
      <c r="B42" s="26"/>
      <c r="C42" s="26"/>
      <c r="D42" s="27"/>
      <c r="E42" s="26"/>
      <c r="F42" s="28"/>
      <c r="G42" s="28"/>
      <c r="H42" s="26"/>
      <c r="I42" s="27"/>
      <c r="J42" s="26"/>
      <c r="K42" s="28"/>
      <c r="L42" s="28"/>
      <c r="M42" s="26"/>
      <c r="N42" s="27"/>
      <c r="O42" s="26"/>
      <c r="P42" s="28"/>
      <c r="Q42" s="28"/>
      <c r="R42" s="26"/>
      <c r="S42" s="27"/>
      <c r="T42" s="26"/>
      <c r="U42" s="28"/>
      <c r="V42" s="28"/>
      <c r="W42" s="26"/>
      <c r="X42" s="27"/>
      <c r="Y42" s="26"/>
      <c r="Z42" s="28"/>
      <c r="AA42" s="28"/>
    </row>
    <row r="43" spans="1:27" x14ac:dyDescent="0.2">
      <c r="A43" s="26"/>
      <c r="B43" s="26"/>
      <c r="C43" s="26"/>
      <c r="D43" s="27"/>
      <c r="E43" s="26"/>
      <c r="F43" s="28"/>
      <c r="G43" s="28"/>
      <c r="H43" s="26"/>
      <c r="I43" s="27"/>
      <c r="J43" s="26"/>
      <c r="K43" s="28"/>
      <c r="L43" s="28"/>
      <c r="M43" s="26"/>
      <c r="N43" s="27"/>
      <c r="O43" s="26"/>
      <c r="P43" s="28"/>
      <c r="Q43" s="28"/>
      <c r="R43" s="26"/>
      <c r="S43" s="27"/>
      <c r="T43" s="26"/>
      <c r="U43" s="28"/>
      <c r="V43" s="28"/>
      <c r="W43" s="26"/>
      <c r="X43" s="27"/>
      <c r="Y43" s="26"/>
      <c r="Z43" s="28"/>
      <c r="AA43" s="28"/>
    </row>
    <row r="44" spans="1:27" x14ac:dyDescent="0.2">
      <c r="A44" s="26"/>
      <c r="B44" s="26"/>
      <c r="C44" s="26"/>
      <c r="D44" s="27"/>
      <c r="E44" s="26"/>
      <c r="F44" s="28"/>
      <c r="G44" s="28"/>
      <c r="H44" s="26"/>
      <c r="I44" s="27"/>
      <c r="J44" s="26"/>
      <c r="K44" s="28"/>
      <c r="L44" s="28"/>
      <c r="M44" s="26"/>
      <c r="N44" s="27"/>
      <c r="O44" s="26"/>
      <c r="P44" s="28"/>
      <c r="Q44" s="28"/>
      <c r="R44" s="26"/>
      <c r="S44" s="27"/>
      <c r="T44" s="26"/>
      <c r="U44" s="28"/>
      <c r="V44" s="28"/>
      <c r="W44" s="26"/>
      <c r="X44" s="27"/>
      <c r="Y44" s="26"/>
      <c r="Z44" s="28"/>
      <c r="AA44" s="28"/>
    </row>
    <row r="45" spans="1:27" x14ac:dyDescent="0.2">
      <c r="A45" s="26"/>
      <c r="B45" s="26"/>
      <c r="C45" s="26"/>
      <c r="D45" s="27"/>
      <c r="E45" s="26"/>
      <c r="F45" s="28"/>
      <c r="G45" s="28"/>
      <c r="H45" s="26"/>
      <c r="I45" s="27"/>
      <c r="J45" s="26"/>
      <c r="K45" s="28"/>
      <c r="L45" s="28"/>
      <c r="M45" s="26"/>
      <c r="N45" s="27"/>
      <c r="O45" s="26"/>
      <c r="P45" s="28"/>
      <c r="Q45" s="28"/>
      <c r="R45" s="26"/>
      <c r="S45" s="27"/>
      <c r="T45" s="26"/>
      <c r="U45" s="28"/>
      <c r="V45" s="28"/>
      <c r="W45" s="26"/>
      <c r="X45" s="27"/>
      <c r="Y45" s="26"/>
      <c r="Z45" s="28"/>
      <c r="AA45" s="28"/>
    </row>
    <row r="46" spans="1:27" x14ac:dyDescent="0.2">
      <c r="A46" s="26"/>
      <c r="B46" s="26"/>
      <c r="C46" s="26"/>
      <c r="D46" s="27"/>
      <c r="E46" s="26"/>
      <c r="F46" s="28"/>
      <c r="G46" s="28"/>
      <c r="H46" s="26"/>
      <c r="I46" s="27"/>
      <c r="J46" s="26"/>
      <c r="K46" s="28"/>
      <c r="L46" s="28"/>
      <c r="M46" s="26"/>
      <c r="N46" s="27"/>
      <c r="O46" s="26"/>
      <c r="P46" s="28"/>
      <c r="Q46" s="28"/>
      <c r="R46" s="26"/>
      <c r="S46" s="27"/>
      <c r="T46" s="26"/>
      <c r="U46" s="28"/>
      <c r="V46" s="28"/>
      <c r="W46" s="26"/>
      <c r="X46" s="27"/>
      <c r="Y46" s="26"/>
      <c r="Z46" s="28"/>
      <c r="AA46" s="28"/>
    </row>
    <row r="47" spans="1:27" x14ac:dyDescent="0.2">
      <c r="A47" s="26"/>
      <c r="B47" s="26"/>
      <c r="C47" s="26"/>
      <c r="D47" s="27"/>
      <c r="E47" s="26"/>
      <c r="F47" s="28"/>
      <c r="G47" s="28"/>
      <c r="H47" s="26"/>
      <c r="I47" s="27"/>
      <c r="J47" s="26"/>
      <c r="K47" s="28"/>
      <c r="L47" s="28"/>
      <c r="M47" s="26"/>
      <c r="N47" s="27"/>
      <c r="O47" s="26"/>
      <c r="P47" s="28"/>
      <c r="Q47" s="28"/>
      <c r="R47" s="26"/>
      <c r="S47" s="27"/>
      <c r="T47" s="26"/>
      <c r="U47" s="28"/>
      <c r="V47" s="28"/>
      <c r="W47" s="26"/>
      <c r="X47" s="27"/>
      <c r="Y47" s="26"/>
      <c r="Z47" s="28"/>
      <c r="AA47" s="28"/>
    </row>
    <row r="48" spans="1:27" x14ac:dyDescent="0.2">
      <c r="A48" s="26"/>
      <c r="B48" s="26"/>
      <c r="C48" s="26"/>
      <c r="D48" s="27"/>
      <c r="E48" s="26"/>
      <c r="F48" s="28"/>
      <c r="G48" s="28"/>
      <c r="H48" s="26"/>
      <c r="I48" s="27"/>
      <c r="J48" s="26"/>
      <c r="K48" s="28"/>
      <c r="L48" s="28"/>
      <c r="M48" s="26"/>
      <c r="N48" s="27"/>
      <c r="O48" s="26"/>
      <c r="P48" s="28"/>
      <c r="Q48" s="28"/>
      <c r="R48" s="26"/>
      <c r="S48" s="27"/>
      <c r="T48" s="26"/>
      <c r="U48" s="28"/>
      <c r="V48" s="28"/>
      <c r="W48" s="26"/>
      <c r="X48" s="27"/>
      <c r="Y48" s="26"/>
      <c r="Z48" s="28"/>
      <c r="AA48" s="28"/>
    </row>
    <row r="49" spans="1:27" x14ac:dyDescent="0.2">
      <c r="A49" s="26"/>
      <c r="B49" s="26"/>
      <c r="C49" s="26"/>
      <c r="D49" s="27"/>
      <c r="E49" s="26"/>
      <c r="F49" s="28"/>
      <c r="G49" s="28"/>
      <c r="H49" s="26"/>
      <c r="I49" s="27"/>
      <c r="J49" s="26"/>
      <c r="K49" s="28"/>
      <c r="L49" s="28"/>
      <c r="M49" s="26"/>
      <c r="N49" s="27"/>
      <c r="O49" s="26"/>
      <c r="P49" s="28"/>
      <c r="Q49" s="28"/>
      <c r="R49" s="26"/>
      <c r="S49" s="27"/>
      <c r="T49" s="26"/>
      <c r="U49" s="28"/>
      <c r="V49" s="28"/>
      <c r="W49" s="26"/>
      <c r="X49" s="27"/>
      <c r="Y49" s="26"/>
      <c r="Z49" s="28"/>
      <c r="AA49" s="28"/>
    </row>
    <row r="50" spans="1:27" x14ac:dyDescent="0.2">
      <c r="A50" s="26"/>
      <c r="B50" s="26"/>
      <c r="C50" s="26"/>
      <c r="D50" s="27"/>
      <c r="E50" s="26"/>
      <c r="F50" s="28"/>
      <c r="G50" s="28"/>
      <c r="H50" s="26"/>
      <c r="I50" s="27"/>
      <c r="J50" s="26"/>
      <c r="K50" s="28"/>
      <c r="L50" s="28"/>
      <c r="M50" s="26"/>
      <c r="N50" s="27"/>
      <c r="O50" s="26"/>
      <c r="P50" s="28"/>
      <c r="Q50" s="28"/>
      <c r="R50" s="26"/>
      <c r="S50" s="27"/>
      <c r="T50" s="26"/>
      <c r="U50" s="28"/>
      <c r="V50" s="28"/>
      <c r="W50" s="26"/>
      <c r="X50" s="27"/>
      <c r="Y50" s="26"/>
      <c r="Z50" s="28"/>
      <c r="AA50" s="28"/>
    </row>
    <row r="51" spans="1:27" x14ac:dyDescent="0.2">
      <c r="A51" s="26"/>
      <c r="B51" s="26"/>
      <c r="C51" s="26"/>
      <c r="D51" s="27"/>
      <c r="E51" s="26"/>
      <c r="F51" s="28"/>
      <c r="G51" s="28"/>
      <c r="H51" s="26"/>
      <c r="I51" s="27"/>
      <c r="J51" s="26"/>
      <c r="K51" s="28"/>
      <c r="L51" s="28"/>
      <c r="M51" s="26"/>
      <c r="N51" s="27"/>
      <c r="O51" s="26"/>
      <c r="P51" s="28"/>
      <c r="Q51" s="28"/>
      <c r="R51" s="26"/>
      <c r="S51" s="27"/>
      <c r="T51" s="26"/>
      <c r="U51" s="28"/>
      <c r="V51" s="28"/>
      <c r="W51" s="26"/>
      <c r="X51" s="27"/>
      <c r="Y51" s="26"/>
      <c r="Z51" s="28"/>
      <c r="AA51" s="28"/>
    </row>
    <row r="52" spans="1:27" x14ac:dyDescent="0.2">
      <c r="A52" s="26"/>
      <c r="B52" s="26"/>
      <c r="C52" s="26"/>
      <c r="D52" s="27"/>
      <c r="E52" s="26"/>
      <c r="F52" s="28"/>
      <c r="G52" s="28"/>
      <c r="H52" s="26"/>
      <c r="I52" s="27"/>
      <c r="J52" s="26"/>
      <c r="K52" s="28"/>
      <c r="L52" s="28"/>
      <c r="M52" s="26"/>
      <c r="N52" s="27"/>
      <c r="O52" s="26"/>
      <c r="P52" s="28"/>
      <c r="Q52" s="28"/>
      <c r="R52" s="26"/>
      <c r="S52" s="27"/>
      <c r="T52" s="26"/>
      <c r="U52" s="28"/>
      <c r="V52" s="28"/>
      <c r="W52" s="26"/>
      <c r="X52" s="27"/>
      <c r="Y52" s="26"/>
      <c r="Z52" s="28"/>
      <c r="AA52" s="28"/>
    </row>
    <row r="53" spans="1:27" x14ac:dyDescent="0.2">
      <c r="A53" s="26"/>
      <c r="B53" s="26"/>
      <c r="C53" s="26"/>
      <c r="D53" s="27"/>
      <c r="E53" s="26"/>
      <c r="F53" s="28"/>
      <c r="G53" s="28"/>
      <c r="H53" s="26"/>
      <c r="I53" s="27"/>
      <c r="J53" s="26"/>
      <c r="K53" s="28"/>
      <c r="L53" s="28"/>
      <c r="M53" s="26"/>
      <c r="N53" s="27"/>
      <c r="O53" s="26"/>
      <c r="P53" s="28"/>
      <c r="Q53" s="28"/>
      <c r="R53" s="26"/>
      <c r="S53" s="27"/>
      <c r="T53" s="26"/>
      <c r="U53" s="28"/>
      <c r="V53" s="28"/>
      <c r="W53" s="26"/>
      <c r="X53" s="27"/>
      <c r="Y53" s="26"/>
      <c r="Z53" s="28"/>
      <c r="AA53" s="28"/>
    </row>
    <row r="54" spans="1:27" x14ac:dyDescent="0.2">
      <c r="A54" s="26"/>
      <c r="B54" s="26"/>
      <c r="C54" s="26"/>
      <c r="D54" s="27"/>
      <c r="E54" s="26"/>
      <c r="F54" s="28"/>
      <c r="G54" s="28"/>
      <c r="H54" s="26"/>
      <c r="I54" s="27"/>
      <c r="J54" s="26"/>
      <c r="K54" s="28"/>
      <c r="L54" s="28"/>
      <c r="M54" s="26"/>
      <c r="N54" s="27"/>
      <c r="O54" s="26"/>
      <c r="P54" s="28"/>
      <c r="Q54" s="28"/>
      <c r="R54" s="26"/>
      <c r="S54" s="27"/>
      <c r="T54" s="26"/>
      <c r="U54" s="28"/>
      <c r="V54" s="28"/>
      <c r="W54" s="26"/>
      <c r="X54" s="27"/>
      <c r="Y54" s="26"/>
      <c r="Z54" s="28"/>
      <c r="AA54" s="28"/>
    </row>
    <row r="55" spans="1:27" x14ac:dyDescent="0.2">
      <c r="A55" s="26"/>
      <c r="B55" s="26"/>
      <c r="C55" s="26"/>
      <c r="D55" s="27"/>
      <c r="E55" s="26"/>
      <c r="F55" s="28"/>
      <c r="G55" s="28"/>
      <c r="H55" s="26"/>
      <c r="I55" s="27"/>
      <c r="J55" s="26"/>
      <c r="K55" s="28"/>
      <c r="L55" s="28"/>
      <c r="M55" s="26"/>
      <c r="N55" s="27"/>
      <c r="O55" s="26"/>
      <c r="P55" s="28"/>
      <c r="Q55" s="28"/>
      <c r="R55" s="26"/>
      <c r="S55" s="27"/>
      <c r="T55" s="26"/>
      <c r="U55" s="28"/>
      <c r="V55" s="28"/>
      <c r="W55" s="26"/>
      <c r="X55" s="27"/>
      <c r="Y55" s="26"/>
      <c r="Z55" s="28"/>
      <c r="AA55" s="28"/>
    </row>
    <row r="56" spans="1:27" x14ac:dyDescent="0.2">
      <c r="A56" s="26"/>
      <c r="B56" s="26"/>
      <c r="C56" s="26"/>
      <c r="D56" s="27"/>
      <c r="E56" s="26"/>
      <c r="F56" s="28"/>
      <c r="G56" s="28"/>
      <c r="H56" s="26"/>
      <c r="I56" s="27"/>
      <c r="J56" s="26"/>
      <c r="K56" s="28"/>
      <c r="L56" s="28"/>
      <c r="M56" s="26"/>
      <c r="N56" s="27"/>
      <c r="O56" s="26"/>
      <c r="P56" s="28"/>
      <c r="Q56" s="28"/>
      <c r="R56" s="26"/>
      <c r="S56" s="27"/>
      <c r="T56" s="26"/>
      <c r="U56" s="28"/>
      <c r="V56" s="28"/>
      <c r="W56" s="26"/>
      <c r="X56" s="27"/>
      <c r="Y56" s="26"/>
      <c r="Z56" s="28"/>
      <c r="AA56" s="28"/>
    </row>
    <row r="57" spans="1:27" x14ac:dyDescent="0.2">
      <c r="A57" s="26"/>
      <c r="B57" s="26"/>
      <c r="C57" s="26"/>
      <c r="D57" s="27"/>
      <c r="E57" s="26"/>
      <c r="F57" s="28"/>
      <c r="G57" s="28"/>
      <c r="H57" s="26"/>
      <c r="I57" s="27"/>
      <c r="J57" s="26"/>
      <c r="K57" s="28"/>
      <c r="L57" s="28"/>
      <c r="M57" s="26"/>
      <c r="N57" s="27"/>
      <c r="O57" s="26"/>
      <c r="P57" s="28"/>
      <c r="Q57" s="28"/>
      <c r="R57" s="26"/>
      <c r="S57" s="27"/>
      <c r="T57" s="26"/>
      <c r="U57" s="28"/>
      <c r="V57" s="28"/>
      <c r="W57" s="26"/>
      <c r="X57" s="27"/>
      <c r="Y57" s="26"/>
      <c r="Z57" s="28"/>
      <c r="AA57" s="28"/>
    </row>
    <row r="58" spans="1:27" x14ac:dyDescent="0.2">
      <c r="A58" s="26"/>
      <c r="B58" s="26"/>
      <c r="C58" s="26"/>
      <c r="D58" s="27"/>
      <c r="E58" s="26"/>
      <c r="F58" s="28"/>
      <c r="G58" s="28"/>
      <c r="H58" s="26"/>
      <c r="I58" s="27"/>
      <c r="J58" s="26"/>
      <c r="K58" s="28"/>
      <c r="L58" s="28"/>
      <c r="M58" s="26"/>
      <c r="N58" s="27"/>
      <c r="O58" s="26"/>
      <c r="P58" s="28"/>
      <c r="Q58" s="28"/>
      <c r="R58" s="26"/>
      <c r="S58" s="27"/>
      <c r="T58" s="26"/>
      <c r="U58" s="28"/>
      <c r="V58" s="28"/>
      <c r="W58" s="26"/>
      <c r="X58" s="27"/>
      <c r="Y58" s="26"/>
      <c r="Z58" s="28"/>
      <c r="AA58" s="28"/>
    </row>
    <row r="59" spans="1:27" x14ac:dyDescent="0.2">
      <c r="A59" s="26"/>
      <c r="B59" s="26"/>
      <c r="C59" s="26"/>
      <c r="D59" s="27"/>
      <c r="E59" s="26"/>
      <c r="F59" s="28"/>
      <c r="G59" s="28"/>
      <c r="H59" s="26"/>
      <c r="I59" s="27"/>
      <c r="J59" s="26"/>
      <c r="K59" s="28"/>
      <c r="L59" s="28"/>
      <c r="M59" s="26"/>
      <c r="N59" s="27"/>
      <c r="O59" s="26"/>
      <c r="P59" s="28"/>
      <c r="Q59" s="28"/>
      <c r="R59" s="26"/>
      <c r="S59" s="27"/>
      <c r="T59" s="26"/>
      <c r="U59" s="28"/>
      <c r="V59" s="28"/>
      <c r="W59" s="26"/>
      <c r="X59" s="27"/>
      <c r="Y59" s="26"/>
      <c r="Z59" s="28"/>
      <c r="AA59" s="28"/>
    </row>
    <row r="60" spans="1:27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</row>
    <row r="61" spans="1:27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</row>
    <row r="62" spans="1:27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</row>
    <row r="63" spans="1:27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</row>
  </sheetData>
  <mergeCells count="10">
    <mergeCell ref="A18:B20"/>
    <mergeCell ref="X14:X15"/>
    <mergeCell ref="A2:A3"/>
    <mergeCell ref="D14:D15"/>
    <mergeCell ref="E14:E15"/>
    <mergeCell ref="I14:I15"/>
    <mergeCell ref="N14:N15"/>
    <mergeCell ref="S14:S15"/>
    <mergeCell ref="A12:B14"/>
    <mergeCell ref="A15:B17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7BA94-8A18-47E4-B9DF-B1615238D2C1}">
  <sheetPr codeName="Sheet16">
    <tabColor theme="9" tint="0.59999389629810485"/>
  </sheetPr>
  <dimension ref="A1:R63"/>
  <sheetViews>
    <sheetView topLeftCell="A7" zoomScale="125" workbookViewId="0">
      <selection activeCell="J24" sqref="J24"/>
    </sheetView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customWidth="1"/>
    <col min="8" max="8" width="1.6640625" customWidth="1"/>
    <col min="9" max="9" width="13.6640625" customWidth="1"/>
    <col min="10" max="10" width="54.6640625" customWidth="1"/>
    <col min="12" max="12" width="1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customWidth="1"/>
  </cols>
  <sheetData>
    <row r="1" spans="1:1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18" x14ac:dyDescent="0.2">
      <c r="A2" s="247" t="s">
        <v>153</v>
      </c>
      <c r="B2" s="99"/>
      <c r="C2" s="26"/>
      <c r="D2" s="26"/>
      <c r="E2" s="69" t="s">
        <v>117</v>
      </c>
      <c r="F2" s="70" t="s">
        <v>90</v>
      </c>
      <c r="G2" s="70" t="s">
        <v>90</v>
      </c>
      <c r="H2" s="26"/>
      <c r="I2" s="26"/>
      <c r="J2" s="69" t="s">
        <v>121</v>
      </c>
      <c r="K2" s="70" t="s">
        <v>90</v>
      </c>
      <c r="L2" s="26"/>
      <c r="M2" s="26"/>
      <c r="N2" s="26"/>
      <c r="O2" s="26"/>
      <c r="P2" s="26"/>
      <c r="Q2" s="26"/>
      <c r="R2" s="26"/>
    </row>
    <row r="3" spans="1:18" x14ac:dyDescent="0.2">
      <c r="A3" s="248"/>
      <c r="B3" s="110">
        <f>Main!F7</f>
        <v>1</v>
      </c>
      <c r="C3" s="26"/>
      <c r="D3" s="26"/>
      <c r="E3" s="66" t="s">
        <v>82</v>
      </c>
      <c r="F3" s="67">
        <f>F16/24</f>
        <v>7</v>
      </c>
      <c r="G3" s="67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2">
      <c r="A4" s="26"/>
      <c r="B4" s="106" t="s">
        <v>223</v>
      </c>
      <c r="C4" s="109" t="s">
        <v>222</v>
      </c>
      <c r="D4" s="60"/>
      <c r="E4" s="26" t="s">
        <v>89</v>
      </c>
      <c r="F4" s="64">
        <f>SUM(F17:F21)/24</f>
        <v>4</v>
      </c>
      <c r="G4" s="64">
        <f>SUM(G17:G21)/24</f>
        <v>0.27663860611111113</v>
      </c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2">
      <c r="A5" s="103" t="s">
        <v>192</v>
      </c>
      <c r="B5" s="107">
        <f>F3+F4+F5+(F7+F8)*(IF(B2&lt;&gt;"",B2,B3)-1)</f>
        <v>20</v>
      </c>
      <c r="C5" s="111">
        <f>F3+F4+F5+G4+G5+(F7+F8+G7+G8)*(IF(B2&lt;&gt;"",B2,B3)-1)</f>
        <v>20.548720489999997</v>
      </c>
      <c r="D5" s="105" t="s">
        <v>38</v>
      </c>
      <c r="E5" s="32" t="s">
        <v>118</v>
      </c>
      <c r="F5" s="68">
        <f>SUM(F23:F51)/24</f>
        <v>9</v>
      </c>
      <c r="G5" s="68">
        <f>SUM(G23:G51)/24</f>
        <v>0.27208188388888899</v>
      </c>
      <c r="H5" s="26"/>
      <c r="I5" s="26"/>
      <c r="J5" s="71" t="s">
        <v>116</v>
      </c>
      <c r="K5" s="72">
        <f>K12/24</f>
        <v>7.583333333333333</v>
      </c>
      <c r="L5" s="72">
        <f>L12/24</f>
        <v>-9.1134444444444448E-3</v>
      </c>
      <c r="M5" s="26"/>
      <c r="N5" s="26"/>
      <c r="O5" s="26"/>
      <c r="P5" s="26"/>
      <c r="Q5" s="26"/>
      <c r="R5" s="26"/>
    </row>
    <row r="6" spans="1:18" x14ac:dyDescent="0.2">
      <c r="A6" s="31" t="s">
        <v>193</v>
      </c>
      <c r="B6" s="108">
        <v>0</v>
      </c>
      <c r="C6" s="112">
        <v>0</v>
      </c>
      <c r="D6" s="33" t="s">
        <v>38</v>
      </c>
      <c r="E6" s="100" t="s">
        <v>120</v>
      </c>
      <c r="F6" s="70" t="s">
        <v>90</v>
      </c>
      <c r="G6" s="70" t="s">
        <v>90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2">
      <c r="A7" s="26"/>
      <c r="B7" s="26"/>
      <c r="C7" s="26"/>
      <c r="D7" s="26"/>
      <c r="E7" s="30" t="s">
        <v>89</v>
      </c>
      <c r="F7" s="64">
        <f>F4</f>
        <v>4</v>
      </c>
      <c r="G7" s="64">
        <f>G4</f>
        <v>0.27663860611111113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2">
      <c r="A8" s="26"/>
      <c r="B8" s="26"/>
      <c r="C8" s="26"/>
      <c r="D8" s="26"/>
      <c r="E8" s="31" t="s">
        <v>119</v>
      </c>
      <c r="F8" s="68">
        <f>SUM(F23:F53)/24</f>
        <v>9.75</v>
      </c>
      <c r="G8" s="68">
        <f>SUM(G23:G53)/24</f>
        <v>0.27208188388888899</v>
      </c>
      <c r="H8" s="26"/>
      <c r="I8" s="26"/>
      <c r="J8" s="71" t="s">
        <v>116</v>
      </c>
      <c r="K8" s="72">
        <f>K5</f>
        <v>7.583333333333333</v>
      </c>
      <c r="L8" s="72">
        <f>L5</f>
        <v>-9.1134444444444448E-3</v>
      </c>
      <c r="M8" s="26"/>
      <c r="N8" s="26"/>
      <c r="O8" s="26"/>
      <c r="P8" s="26"/>
      <c r="Q8" s="26"/>
      <c r="R8" s="26"/>
    </row>
    <row r="9" spans="1:18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1:18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18" x14ac:dyDescent="0.2">
      <c r="A11" s="148" t="s">
        <v>319</v>
      </c>
      <c r="B11" s="26"/>
      <c r="C11" s="26"/>
      <c r="D11" s="42"/>
      <c r="E11" s="43" t="s">
        <v>154</v>
      </c>
      <c r="F11" s="76"/>
      <c r="G11" s="44"/>
      <c r="H11" s="136"/>
      <c r="I11" s="42"/>
      <c r="J11" s="43" t="s">
        <v>155</v>
      </c>
      <c r="K11" s="76"/>
      <c r="L11" s="44"/>
      <c r="M11" s="136"/>
      <c r="N11" s="42"/>
      <c r="O11" s="43"/>
      <c r="P11" s="44"/>
      <c r="Q11" s="44"/>
      <c r="R11" s="26"/>
    </row>
    <row r="12" spans="1:18" x14ac:dyDescent="0.2">
      <c r="A12" s="259" t="s">
        <v>323</v>
      </c>
      <c r="B12" s="260"/>
      <c r="C12" s="26"/>
      <c r="D12" s="35" t="s">
        <v>112</v>
      </c>
      <c r="E12" s="36"/>
      <c r="F12" s="77">
        <f>SUM(F16:F59)</f>
        <v>498</v>
      </c>
      <c r="G12" s="94">
        <f>SUM(G16:G59)</f>
        <v>13.169291759999995</v>
      </c>
      <c r="H12" s="136"/>
      <c r="I12" s="35" t="s">
        <v>112</v>
      </c>
      <c r="J12" s="36"/>
      <c r="K12" s="77">
        <f>SUM(K16:K59)</f>
        <v>182</v>
      </c>
      <c r="L12" s="94">
        <f>SUM(L16:L59)</f>
        <v>-0.21872266666666668</v>
      </c>
      <c r="M12" s="136"/>
      <c r="N12" s="35"/>
      <c r="O12" s="36"/>
      <c r="P12" s="37">
        <f>SUM(P16:P59)</f>
        <v>0</v>
      </c>
      <c r="Q12" s="94">
        <f>SUM(Q16:Q59)</f>
        <v>0</v>
      </c>
      <c r="R12" s="26"/>
    </row>
    <row r="13" spans="1:18" x14ac:dyDescent="0.2">
      <c r="A13" s="260"/>
      <c r="B13" s="260"/>
      <c r="C13" s="26"/>
      <c r="D13" s="253"/>
      <c r="E13" s="254"/>
      <c r="F13" s="254"/>
      <c r="G13" s="255"/>
      <c r="H13" s="136"/>
      <c r="I13" s="253"/>
      <c r="J13" s="254"/>
      <c r="K13" s="254"/>
      <c r="L13" s="255"/>
      <c r="M13" s="136"/>
      <c r="N13" s="253"/>
      <c r="O13" s="254"/>
      <c r="P13" s="254"/>
      <c r="Q13" s="255"/>
      <c r="R13" s="30"/>
    </row>
    <row r="14" spans="1:18" x14ac:dyDescent="0.2">
      <c r="A14" s="260"/>
      <c r="B14" s="260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61" t="s">
        <v>83</v>
      </c>
      <c r="J14" s="262" t="s">
        <v>16</v>
      </c>
      <c r="K14" s="138" t="s">
        <v>17</v>
      </c>
      <c r="L14" s="138" t="s">
        <v>215</v>
      </c>
      <c r="M14" s="136"/>
      <c r="N14" s="249" t="s">
        <v>83</v>
      </c>
      <c r="O14" s="251"/>
      <c r="P14" s="39"/>
      <c r="Q14" s="39" t="s">
        <v>215</v>
      </c>
      <c r="R14" s="26"/>
    </row>
    <row r="15" spans="1:18" x14ac:dyDescent="0.2">
      <c r="A15" s="259" t="s">
        <v>324</v>
      </c>
      <c r="B15" s="260"/>
      <c r="C15" s="26"/>
      <c r="D15" s="250"/>
      <c r="E15" s="252"/>
      <c r="F15" s="41" t="s">
        <v>18</v>
      </c>
      <c r="G15" s="41" t="s">
        <v>18</v>
      </c>
      <c r="H15" s="26"/>
      <c r="I15" s="250"/>
      <c r="J15" s="252"/>
      <c r="K15" s="41" t="s">
        <v>18</v>
      </c>
      <c r="L15" s="41" t="s">
        <v>18</v>
      </c>
      <c r="M15" s="26"/>
      <c r="N15" s="250"/>
      <c r="O15" s="252"/>
      <c r="P15" s="41"/>
      <c r="Q15" s="41" t="s">
        <v>18</v>
      </c>
      <c r="R15" s="26"/>
    </row>
    <row r="16" spans="1:18" x14ac:dyDescent="0.2">
      <c r="A16" s="260"/>
      <c r="B16" s="260"/>
      <c r="C16" s="26"/>
      <c r="D16" s="27">
        <v>1</v>
      </c>
      <c r="E16" s="26" t="s">
        <v>82</v>
      </c>
      <c r="F16" s="28">
        <f>7*24</f>
        <v>168</v>
      </c>
      <c r="G16" s="64"/>
      <c r="H16" s="26"/>
      <c r="I16" s="27"/>
      <c r="J16" s="26"/>
      <c r="K16" s="28"/>
      <c r="L16" s="64"/>
      <c r="M16" s="26"/>
      <c r="N16" s="27"/>
      <c r="O16" s="26"/>
      <c r="P16" s="28"/>
      <c r="Q16" s="64"/>
      <c r="R16" s="26"/>
    </row>
    <row r="17" spans="1:18" x14ac:dyDescent="0.2">
      <c r="A17" s="260"/>
      <c r="B17" s="260"/>
      <c r="C17" s="26"/>
      <c r="D17" s="27">
        <v>2</v>
      </c>
      <c r="E17" s="26" t="s">
        <v>275</v>
      </c>
      <c r="F17" s="28">
        <v>28</v>
      </c>
      <c r="G17" s="64">
        <f>'Unit Cell Details'!$F$46*6</f>
        <v>3.3743439400000002</v>
      </c>
      <c r="H17" s="26"/>
      <c r="I17" s="27"/>
      <c r="J17" s="26"/>
      <c r="K17" s="28"/>
      <c r="L17" s="64"/>
      <c r="M17" s="26"/>
      <c r="N17" s="27"/>
      <c r="O17" s="26"/>
      <c r="P17" s="28"/>
      <c r="Q17" s="64"/>
      <c r="R17" s="26"/>
    </row>
    <row r="18" spans="1:18" x14ac:dyDescent="0.2">
      <c r="A18" s="259" t="s">
        <v>325</v>
      </c>
      <c r="B18" s="260"/>
      <c r="C18" s="26"/>
      <c r="D18" s="27">
        <v>3</v>
      </c>
      <c r="E18" s="26" t="s">
        <v>276</v>
      </c>
      <c r="F18" s="28">
        <v>28</v>
      </c>
      <c r="G18" s="64">
        <f>'Unit Cell Details'!$F$46*6</f>
        <v>3.3743439400000002</v>
      </c>
      <c r="H18" s="26"/>
      <c r="I18" s="27"/>
      <c r="J18" s="26"/>
      <c r="K18" s="28"/>
      <c r="L18" s="64"/>
      <c r="M18" s="26"/>
      <c r="N18" s="27"/>
      <c r="O18" s="26"/>
      <c r="P18" s="28"/>
      <c r="Q18" s="64"/>
      <c r="R18" s="26"/>
    </row>
    <row r="19" spans="1:18" x14ac:dyDescent="0.2">
      <c r="A19" s="260"/>
      <c r="B19" s="260"/>
      <c r="C19" s="26"/>
      <c r="D19" s="27">
        <v>4</v>
      </c>
      <c r="E19" s="26" t="s">
        <v>277</v>
      </c>
      <c r="F19" s="28">
        <v>28</v>
      </c>
      <c r="G19" s="64">
        <f>'Unit Cell Details'!$F$49*12</f>
        <v>-0.10936133333333334</v>
      </c>
      <c r="H19" s="26"/>
      <c r="I19" s="27"/>
      <c r="J19" s="26"/>
      <c r="K19" s="28"/>
      <c r="L19" s="64"/>
      <c r="M19" s="26"/>
      <c r="N19" s="27"/>
      <c r="O19" s="26"/>
      <c r="P19" s="28"/>
      <c r="Q19" s="64"/>
      <c r="R19" s="26"/>
    </row>
    <row r="20" spans="1:18" x14ac:dyDescent="0.2">
      <c r="A20" s="260"/>
      <c r="B20" s="260"/>
      <c r="C20" s="26"/>
      <c r="D20" s="27">
        <v>5</v>
      </c>
      <c r="E20" s="26" t="s">
        <v>280</v>
      </c>
      <c r="F20" s="28">
        <v>6</v>
      </c>
      <c r="G20" s="64"/>
      <c r="H20" s="26"/>
      <c r="I20" s="27"/>
      <c r="J20" s="26"/>
      <c r="K20" s="28"/>
      <c r="L20" s="64"/>
      <c r="M20" s="26"/>
      <c r="N20" s="27"/>
      <c r="O20" s="26"/>
      <c r="P20" s="28"/>
      <c r="Q20" s="64"/>
      <c r="R20" s="26"/>
    </row>
    <row r="21" spans="1:18" x14ac:dyDescent="0.2">
      <c r="A21" s="26"/>
      <c r="B21" s="26"/>
      <c r="C21" s="26"/>
      <c r="D21" s="27">
        <v>6</v>
      </c>
      <c r="E21" s="26" t="s">
        <v>86</v>
      </c>
      <c r="F21" s="28">
        <v>6</v>
      </c>
      <c r="G21" s="64"/>
      <c r="H21" s="26"/>
      <c r="I21" s="27">
        <v>1</v>
      </c>
      <c r="J21" s="26" t="s">
        <v>87</v>
      </c>
      <c r="K21" s="28">
        <v>10</v>
      </c>
      <c r="L21" s="64"/>
      <c r="M21" s="26"/>
      <c r="N21" s="27"/>
      <c r="O21" s="26"/>
      <c r="P21" s="28"/>
      <c r="Q21" s="64"/>
      <c r="R21" s="26"/>
    </row>
    <row r="22" spans="1:18" x14ac:dyDescent="0.2">
      <c r="A22" s="26"/>
      <c r="B22" s="26"/>
      <c r="C22" s="26"/>
      <c r="D22" s="27"/>
      <c r="E22" s="26"/>
      <c r="F22" s="28"/>
      <c r="G22" s="64"/>
      <c r="H22" s="26"/>
      <c r="I22" s="27">
        <v>2</v>
      </c>
      <c r="J22" s="26" t="s">
        <v>88</v>
      </c>
      <c r="K22" s="28">
        <v>8</v>
      </c>
      <c r="L22" s="64"/>
      <c r="M22" s="26"/>
      <c r="N22" s="27"/>
      <c r="O22" s="26"/>
      <c r="P22" s="28"/>
      <c r="Q22" s="64"/>
      <c r="R22" s="26"/>
    </row>
    <row r="23" spans="1:18" x14ac:dyDescent="0.2">
      <c r="A23" s="26"/>
      <c r="B23" s="26"/>
      <c r="C23" s="26"/>
      <c r="D23" s="27">
        <v>7</v>
      </c>
      <c r="E23" s="26" t="s">
        <v>91</v>
      </c>
      <c r="F23" s="28">
        <v>18</v>
      </c>
      <c r="G23" s="64"/>
      <c r="H23" s="26"/>
      <c r="I23" s="27"/>
      <c r="J23" s="26"/>
      <c r="K23" s="28"/>
      <c r="L23" s="64"/>
      <c r="M23" s="26"/>
      <c r="N23" s="27"/>
      <c r="O23" s="26"/>
      <c r="P23" s="28"/>
      <c r="Q23" s="64"/>
      <c r="R23" s="26"/>
    </row>
    <row r="24" spans="1:18" x14ac:dyDescent="0.2">
      <c r="A24" s="26"/>
      <c r="B24" s="26"/>
      <c r="C24" s="26"/>
      <c r="D24" s="27">
        <v>8</v>
      </c>
      <c r="E24" s="26" t="s">
        <v>92</v>
      </c>
      <c r="F24" s="28">
        <v>8</v>
      </c>
      <c r="G24" s="64"/>
      <c r="H24" s="26"/>
      <c r="I24" s="27">
        <v>3</v>
      </c>
      <c r="J24" s="26" t="s">
        <v>95</v>
      </c>
      <c r="K24" s="28">
        <v>18</v>
      </c>
      <c r="L24" s="64"/>
      <c r="M24" s="26"/>
      <c r="N24" s="27"/>
      <c r="O24" s="26"/>
      <c r="P24" s="28"/>
      <c r="Q24" s="64"/>
      <c r="R24" s="26"/>
    </row>
    <row r="25" spans="1:18" x14ac:dyDescent="0.2">
      <c r="A25" s="26"/>
      <c r="B25" s="26"/>
      <c r="C25" s="26"/>
      <c r="D25" s="27">
        <v>9</v>
      </c>
      <c r="E25" s="26" t="s">
        <v>93</v>
      </c>
      <c r="F25" s="28">
        <v>8</v>
      </c>
      <c r="G25" s="64"/>
      <c r="H25" s="26"/>
      <c r="I25" s="27"/>
      <c r="J25" s="26"/>
      <c r="K25" s="28"/>
      <c r="L25" s="64"/>
      <c r="M25" s="26"/>
      <c r="N25" s="27"/>
      <c r="O25" s="26"/>
      <c r="P25" s="28"/>
      <c r="Q25" s="64"/>
      <c r="R25" s="26"/>
    </row>
    <row r="26" spans="1:18" x14ac:dyDescent="0.2">
      <c r="A26" s="26"/>
      <c r="B26" s="26"/>
      <c r="C26" s="26"/>
      <c r="D26" s="27">
        <v>10</v>
      </c>
      <c r="E26" s="26" t="s">
        <v>94</v>
      </c>
      <c r="F26" s="28">
        <v>8</v>
      </c>
      <c r="G26" s="64"/>
      <c r="H26" s="26"/>
      <c r="I26" s="27">
        <v>4</v>
      </c>
      <c r="J26" s="26" t="s">
        <v>98</v>
      </c>
      <c r="K26" s="28">
        <v>8</v>
      </c>
      <c r="L26" s="64"/>
      <c r="M26" s="26"/>
      <c r="N26" s="27"/>
      <c r="O26" s="26"/>
      <c r="P26" s="28"/>
      <c r="Q26" s="64"/>
      <c r="R26" s="26"/>
    </row>
    <row r="27" spans="1:18" x14ac:dyDescent="0.2">
      <c r="A27" s="26"/>
      <c r="B27" s="26"/>
      <c r="C27" s="26"/>
      <c r="D27" s="27">
        <v>11</v>
      </c>
      <c r="E27" s="26" t="s">
        <v>94</v>
      </c>
      <c r="F27" s="28">
        <v>8</v>
      </c>
      <c r="G27" s="64"/>
      <c r="H27" s="26"/>
      <c r="I27" s="27">
        <v>5</v>
      </c>
      <c r="J27" s="26" t="s">
        <v>98</v>
      </c>
      <c r="K27" s="28">
        <v>8</v>
      </c>
      <c r="L27" s="64"/>
      <c r="M27" s="26"/>
      <c r="N27" s="27"/>
      <c r="O27" s="26"/>
      <c r="P27" s="28"/>
      <c r="Q27" s="64"/>
      <c r="R27" s="26"/>
    </row>
    <row r="28" spans="1:18" x14ac:dyDescent="0.2">
      <c r="A28" s="26"/>
      <c r="B28" s="26"/>
      <c r="C28" s="26"/>
      <c r="D28" s="27">
        <v>12</v>
      </c>
      <c r="E28" s="26" t="s">
        <v>94</v>
      </c>
      <c r="F28" s="28">
        <v>8</v>
      </c>
      <c r="G28" s="64"/>
      <c r="H28" s="26"/>
      <c r="I28" s="27">
        <v>6</v>
      </c>
      <c r="J28" s="26" t="s">
        <v>98</v>
      </c>
      <c r="K28" s="28">
        <v>8</v>
      </c>
      <c r="L28" s="64"/>
      <c r="M28" s="26"/>
      <c r="N28" s="27"/>
      <c r="O28" s="26"/>
      <c r="P28" s="28"/>
      <c r="Q28" s="64"/>
      <c r="R28" s="26"/>
    </row>
    <row r="29" spans="1:18" x14ac:dyDescent="0.2">
      <c r="A29" s="26"/>
      <c r="B29" s="26"/>
      <c r="C29" s="26"/>
      <c r="D29" s="27">
        <v>13</v>
      </c>
      <c r="E29" s="26" t="s">
        <v>94</v>
      </c>
      <c r="F29" s="28">
        <v>8</v>
      </c>
      <c r="G29" s="64"/>
      <c r="H29" s="26"/>
      <c r="I29" s="27">
        <v>7</v>
      </c>
      <c r="J29" s="26" t="s">
        <v>98</v>
      </c>
      <c r="K29" s="28">
        <v>8</v>
      </c>
      <c r="L29" s="64"/>
      <c r="M29" s="26"/>
      <c r="N29" s="27"/>
      <c r="O29" s="26"/>
      <c r="P29" s="28"/>
      <c r="Q29" s="64"/>
      <c r="R29" s="26"/>
    </row>
    <row r="30" spans="1:18" x14ac:dyDescent="0.2">
      <c r="A30" s="26"/>
      <c r="B30" s="26"/>
      <c r="C30" s="26"/>
      <c r="D30" s="27">
        <v>14</v>
      </c>
      <c r="E30" s="26" t="s">
        <v>94</v>
      </c>
      <c r="F30" s="28">
        <v>8</v>
      </c>
      <c r="G30" s="64"/>
      <c r="H30" s="26"/>
      <c r="I30" s="27">
        <v>8</v>
      </c>
      <c r="J30" s="26" t="s">
        <v>96</v>
      </c>
      <c r="K30" s="28">
        <v>18</v>
      </c>
      <c r="L30" s="64"/>
      <c r="M30" s="26"/>
      <c r="N30" s="27"/>
      <c r="O30" s="26"/>
      <c r="P30" s="28"/>
      <c r="Q30" s="64"/>
      <c r="R30" s="26"/>
    </row>
    <row r="31" spans="1:18" x14ac:dyDescent="0.2">
      <c r="A31" s="26"/>
      <c r="B31" s="26"/>
      <c r="C31" s="26"/>
      <c r="D31" s="27"/>
      <c r="E31" s="26"/>
      <c r="F31" s="28"/>
      <c r="G31" s="64"/>
      <c r="H31" s="26"/>
      <c r="I31" s="27">
        <v>9</v>
      </c>
      <c r="J31" s="26" t="s">
        <v>87</v>
      </c>
      <c r="K31" s="28">
        <v>10</v>
      </c>
      <c r="L31" s="64"/>
      <c r="M31" s="26"/>
      <c r="N31" s="27"/>
      <c r="O31" s="26"/>
      <c r="P31" s="28"/>
      <c r="Q31" s="64"/>
      <c r="R31" s="26"/>
    </row>
    <row r="32" spans="1:18" x14ac:dyDescent="0.2">
      <c r="A32" s="26"/>
      <c r="B32" s="26"/>
      <c r="C32" s="26"/>
      <c r="D32" s="27">
        <v>15</v>
      </c>
      <c r="E32" s="26" t="s">
        <v>99</v>
      </c>
      <c r="F32" s="28">
        <v>8</v>
      </c>
      <c r="G32" s="64">
        <f>'Unit Cell Details'!$F$46+'Unit Cell Details'!$F$49</f>
        <v>0.55327721222222226</v>
      </c>
      <c r="H32" s="26"/>
      <c r="I32" s="27">
        <v>10</v>
      </c>
      <c r="J32" s="26" t="s">
        <v>97</v>
      </c>
      <c r="K32" s="28">
        <v>4</v>
      </c>
      <c r="L32" s="64">
        <f>'Unit Cell Details'!$F$49*12</f>
        <v>-0.10936133333333334</v>
      </c>
      <c r="M32" s="26"/>
      <c r="N32" s="27"/>
      <c r="O32" s="26"/>
      <c r="P32" s="28"/>
      <c r="Q32" s="64"/>
      <c r="R32" s="26"/>
    </row>
    <row r="33" spans="1:18" x14ac:dyDescent="0.2">
      <c r="A33" s="26"/>
      <c r="B33" s="26"/>
      <c r="C33" s="26"/>
      <c r="D33" s="27">
        <v>16</v>
      </c>
      <c r="E33" s="26" t="s">
        <v>100</v>
      </c>
      <c r="F33" s="28">
        <v>8</v>
      </c>
      <c r="G33" s="64">
        <f>'Unit Cell Details'!$F$46+'Unit Cell Details'!$F$49</f>
        <v>0.55327721222222226</v>
      </c>
      <c r="H33" s="26"/>
      <c r="I33" s="27">
        <v>11</v>
      </c>
      <c r="J33" s="26" t="s">
        <v>88</v>
      </c>
      <c r="K33" s="28">
        <v>8</v>
      </c>
      <c r="L33" s="64"/>
      <c r="M33" s="26"/>
      <c r="N33" s="27"/>
      <c r="O33" s="26"/>
      <c r="P33" s="28"/>
      <c r="Q33" s="64"/>
      <c r="R33" s="26"/>
    </row>
    <row r="34" spans="1:18" x14ac:dyDescent="0.2">
      <c r="A34" s="26"/>
      <c r="B34" s="26"/>
      <c r="C34" s="26"/>
      <c r="D34" s="27">
        <v>17</v>
      </c>
      <c r="E34" s="26" t="s">
        <v>101</v>
      </c>
      <c r="F34" s="28">
        <v>8</v>
      </c>
      <c r="G34" s="64">
        <f>'Unit Cell Details'!$F$46+'Unit Cell Details'!$F$49</f>
        <v>0.55327721222222226</v>
      </c>
      <c r="H34" s="26"/>
      <c r="I34" s="27">
        <v>12</v>
      </c>
      <c r="J34" s="26" t="s">
        <v>115</v>
      </c>
      <c r="K34" s="28">
        <v>18</v>
      </c>
      <c r="L34" s="64"/>
      <c r="M34" s="26"/>
      <c r="N34" s="27"/>
      <c r="O34" s="26"/>
      <c r="P34" s="28"/>
      <c r="Q34" s="64"/>
      <c r="R34" s="26"/>
    </row>
    <row r="35" spans="1:18" x14ac:dyDescent="0.2">
      <c r="A35" s="26"/>
      <c r="B35" s="26"/>
      <c r="C35" s="26"/>
      <c r="D35" s="27">
        <v>18</v>
      </c>
      <c r="E35" s="26" t="s">
        <v>102</v>
      </c>
      <c r="F35" s="28">
        <v>8</v>
      </c>
      <c r="G35" s="64">
        <f>'Unit Cell Details'!$F$46+'Unit Cell Details'!$F$49</f>
        <v>0.55327721222222226</v>
      </c>
      <c r="H35" s="26"/>
      <c r="I35" s="27"/>
      <c r="J35" s="26"/>
      <c r="K35" s="28"/>
      <c r="L35" s="64"/>
      <c r="M35" s="26"/>
      <c r="N35" s="27"/>
      <c r="O35" s="26"/>
      <c r="P35" s="28"/>
      <c r="Q35" s="64"/>
      <c r="R35" s="26"/>
    </row>
    <row r="36" spans="1:18" x14ac:dyDescent="0.2">
      <c r="A36" s="26"/>
      <c r="B36" s="26"/>
      <c r="C36" s="26"/>
      <c r="D36" s="27">
        <v>19</v>
      </c>
      <c r="E36" s="26" t="s">
        <v>103</v>
      </c>
      <c r="F36" s="28">
        <v>8</v>
      </c>
      <c r="G36" s="64">
        <f>'Unit Cell Details'!$F$46+'Unit Cell Details'!$F$49</f>
        <v>0.55327721222222226</v>
      </c>
      <c r="H36" s="26"/>
      <c r="I36" s="27"/>
      <c r="J36" s="26"/>
      <c r="K36" s="28"/>
      <c r="L36" s="64"/>
      <c r="M36" s="26"/>
      <c r="N36" s="27"/>
      <c r="O36" s="26"/>
      <c r="P36" s="28"/>
      <c r="Q36" s="64"/>
      <c r="R36" s="26"/>
    </row>
    <row r="37" spans="1:18" x14ac:dyDescent="0.2">
      <c r="A37" s="26"/>
      <c r="B37" s="26"/>
      <c r="C37" s="26"/>
      <c r="D37" s="27">
        <v>20</v>
      </c>
      <c r="E37" s="26" t="s">
        <v>104</v>
      </c>
      <c r="F37" s="28">
        <v>8</v>
      </c>
      <c r="G37" s="64">
        <f>'Unit Cell Details'!$F$46+'Unit Cell Details'!$F$49</f>
        <v>0.55327721222222226</v>
      </c>
      <c r="H37" s="26"/>
      <c r="I37" s="27"/>
      <c r="J37" s="26"/>
      <c r="K37" s="28"/>
      <c r="L37" s="64"/>
      <c r="M37" s="26"/>
      <c r="N37" s="27"/>
      <c r="O37" s="26"/>
      <c r="P37" s="28"/>
      <c r="Q37" s="64"/>
      <c r="R37" s="26"/>
    </row>
    <row r="38" spans="1:18" x14ac:dyDescent="0.2">
      <c r="A38" s="26"/>
      <c r="B38" s="26"/>
      <c r="C38" s="26"/>
      <c r="D38" s="27"/>
      <c r="E38" s="26"/>
      <c r="F38" s="28"/>
      <c r="G38" s="64"/>
      <c r="H38" s="26"/>
      <c r="I38" s="27"/>
      <c r="J38" s="26"/>
      <c r="K38" s="28"/>
      <c r="L38" s="64"/>
      <c r="M38" s="26"/>
      <c r="N38" s="27"/>
      <c r="O38" s="26"/>
      <c r="P38" s="28"/>
      <c r="Q38" s="64"/>
      <c r="R38" s="26"/>
    </row>
    <row r="39" spans="1:18" x14ac:dyDescent="0.2">
      <c r="A39" s="26"/>
      <c r="B39" s="26"/>
      <c r="C39" s="26"/>
      <c r="D39" s="27">
        <v>21</v>
      </c>
      <c r="E39" s="26" t="s">
        <v>105</v>
      </c>
      <c r="F39" s="28">
        <v>6</v>
      </c>
      <c r="G39" s="64">
        <f>'Unit Cell Details'!$F$49*12</f>
        <v>-0.10936133333333334</v>
      </c>
      <c r="H39" s="26"/>
      <c r="I39" s="27">
        <v>13</v>
      </c>
      <c r="J39" s="26" t="s">
        <v>279</v>
      </c>
      <c r="K39" s="28">
        <v>6</v>
      </c>
      <c r="L39" s="64">
        <f>'Unit Cell Details'!$F$49*12</f>
        <v>-0.10936133333333334</v>
      </c>
      <c r="M39" s="26"/>
      <c r="N39" s="27"/>
      <c r="O39" s="26"/>
      <c r="P39" s="28"/>
      <c r="Q39" s="64"/>
      <c r="R39" s="26"/>
    </row>
    <row r="40" spans="1:18" x14ac:dyDescent="0.2">
      <c r="A40" s="26"/>
      <c r="B40" s="26"/>
      <c r="C40" s="26"/>
      <c r="D40" s="27">
        <v>22</v>
      </c>
      <c r="E40" s="26" t="s">
        <v>94</v>
      </c>
      <c r="F40" s="28">
        <v>8</v>
      </c>
      <c r="G40" s="64"/>
      <c r="H40" s="26"/>
      <c r="I40" s="27">
        <v>14</v>
      </c>
      <c r="J40" s="26" t="s">
        <v>98</v>
      </c>
      <c r="K40" s="28">
        <v>8</v>
      </c>
      <c r="L40" s="64"/>
      <c r="M40" s="26"/>
      <c r="N40" s="27"/>
      <c r="O40" s="26"/>
      <c r="P40" s="28"/>
      <c r="Q40" s="64"/>
      <c r="R40" s="26"/>
    </row>
    <row r="41" spans="1:18" x14ac:dyDescent="0.2">
      <c r="A41" s="26"/>
      <c r="B41" s="26"/>
      <c r="C41" s="26"/>
      <c r="D41" s="27">
        <v>23</v>
      </c>
      <c r="E41" s="26" t="s">
        <v>94</v>
      </c>
      <c r="F41" s="28">
        <v>8</v>
      </c>
      <c r="G41" s="64"/>
      <c r="H41" s="26"/>
      <c r="I41" s="27">
        <v>15</v>
      </c>
      <c r="J41" s="26" t="s">
        <v>98</v>
      </c>
      <c r="K41" s="28">
        <v>8</v>
      </c>
      <c r="L41" s="64"/>
      <c r="M41" s="26"/>
      <c r="N41" s="27"/>
      <c r="O41" s="26"/>
      <c r="P41" s="28"/>
      <c r="Q41" s="64"/>
      <c r="R41" s="26"/>
    </row>
    <row r="42" spans="1:18" x14ac:dyDescent="0.2">
      <c r="A42" s="26"/>
      <c r="B42" s="26"/>
      <c r="C42" s="26"/>
      <c r="D42" s="27">
        <v>24</v>
      </c>
      <c r="E42" s="26" t="s">
        <v>94</v>
      </c>
      <c r="F42" s="28">
        <v>8</v>
      </c>
      <c r="G42" s="64"/>
      <c r="H42" s="26"/>
      <c r="I42" s="27">
        <v>16</v>
      </c>
      <c r="J42" s="26" t="s">
        <v>98</v>
      </c>
      <c r="K42" s="28">
        <v>8</v>
      </c>
      <c r="L42" s="64"/>
      <c r="M42" s="26"/>
      <c r="N42" s="27"/>
      <c r="O42" s="26"/>
      <c r="P42" s="28"/>
      <c r="Q42" s="64"/>
      <c r="R42" s="26"/>
    </row>
    <row r="43" spans="1:18" x14ac:dyDescent="0.2">
      <c r="A43" s="26"/>
      <c r="B43" s="26"/>
      <c r="C43" s="26"/>
      <c r="D43" s="27">
        <v>25</v>
      </c>
      <c r="E43" s="26" t="s">
        <v>94</v>
      </c>
      <c r="F43" s="28">
        <v>8</v>
      </c>
      <c r="G43" s="64"/>
      <c r="H43" s="26"/>
      <c r="I43" s="27">
        <v>17</v>
      </c>
      <c r="J43" s="26" t="s">
        <v>98</v>
      </c>
      <c r="K43" s="28">
        <v>8</v>
      </c>
      <c r="L43" s="64"/>
      <c r="M43" s="26"/>
      <c r="N43" s="27"/>
      <c r="O43" s="26"/>
      <c r="P43" s="28"/>
      <c r="Q43" s="64"/>
      <c r="R43" s="26"/>
    </row>
    <row r="44" spans="1:18" x14ac:dyDescent="0.2">
      <c r="A44" s="26"/>
      <c r="B44" s="26"/>
      <c r="C44" s="26"/>
      <c r="D44" s="27">
        <v>26</v>
      </c>
      <c r="E44" s="26" t="s">
        <v>94</v>
      </c>
      <c r="F44" s="28">
        <v>8</v>
      </c>
      <c r="G44" s="64"/>
      <c r="H44" s="26"/>
      <c r="I44" s="27">
        <v>18</v>
      </c>
      <c r="J44" s="26" t="s">
        <v>114</v>
      </c>
      <c r="K44" s="28">
        <v>18</v>
      </c>
      <c r="L44" s="64"/>
      <c r="M44" s="26"/>
      <c r="N44" s="27"/>
      <c r="O44" s="26"/>
      <c r="P44" s="28"/>
      <c r="Q44" s="64"/>
      <c r="R44" s="26"/>
    </row>
    <row r="45" spans="1:18" x14ac:dyDescent="0.2">
      <c r="A45" s="26"/>
      <c r="B45" s="26"/>
      <c r="C45" s="26"/>
      <c r="D45" s="27"/>
      <c r="E45" s="26"/>
      <c r="F45" s="28"/>
      <c r="G45" s="64"/>
      <c r="H45" s="26"/>
      <c r="I45" s="27"/>
      <c r="J45" s="26"/>
      <c r="K45" s="28"/>
      <c r="L45" s="64"/>
      <c r="M45" s="26"/>
      <c r="N45" s="27"/>
      <c r="O45" s="26"/>
      <c r="P45" s="28"/>
      <c r="Q45" s="64"/>
      <c r="R45" s="26"/>
    </row>
    <row r="46" spans="1:18" x14ac:dyDescent="0.2">
      <c r="A46" s="26"/>
      <c r="B46" s="26"/>
      <c r="C46" s="26"/>
      <c r="D46" s="27">
        <v>27</v>
      </c>
      <c r="E46" s="26" t="s">
        <v>106</v>
      </c>
      <c r="F46" s="28">
        <v>8</v>
      </c>
      <c r="G46" s="64">
        <f>'Unit Cell Details'!$F$46+'Unit Cell Details'!$F$49</f>
        <v>0.55327721222222226</v>
      </c>
      <c r="H46" s="26"/>
      <c r="I46" s="27"/>
      <c r="J46" s="26"/>
      <c r="K46" s="28"/>
      <c r="L46" s="64"/>
      <c r="M46" s="26"/>
      <c r="N46" s="27"/>
      <c r="O46" s="26"/>
      <c r="P46" s="28"/>
      <c r="Q46" s="64"/>
      <c r="R46" s="26"/>
    </row>
    <row r="47" spans="1:18" x14ac:dyDescent="0.2">
      <c r="A47" s="26"/>
      <c r="B47" s="26"/>
      <c r="C47" s="26"/>
      <c r="D47" s="27">
        <v>28</v>
      </c>
      <c r="E47" s="26" t="s">
        <v>107</v>
      </c>
      <c r="F47" s="28">
        <v>8</v>
      </c>
      <c r="G47" s="64">
        <f>'Unit Cell Details'!$F$46+'Unit Cell Details'!$F$49</f>
        <v>0.55327721222222226</v>
      </c>
      <c r="H47" s="26"/>
      <c r="I47" s="27"/>
      <c r="J47" s="26"/>
      <c r="K47" s="28"/>
      <c r="L47" s="64"/>
      <c r="M47" s="26"/>
      <c r="N47" s="27"/>
      <c r="O47" s="26"/>
      <c r="P47" s="28"/>
      <c r="Q47" s="64"/>
      <c r="R47" s="26"/>
    </row>
    <row r="48" spans="1:18" x14ac:dyDescent="0.2">
      <c r="A48" s="26"/>
      <c r="B48" s="26"/>
      <c r="C48" s="26"/>
      <c r="D48" s="27">
        <v>29</v>
      </c>
      <c r="E48" s="26" t="s">
        <v>108</v>
      </c>
      <c r="F48" s="28">
        <v>8</v>
      </c>
      <c r="G48" s="64">
        <f>'Unit Cell Details'!$F$46+'Unit Cell Details'!$F$49</f>
        <v>0.55327721222222226</v>
      </c>
      <c r="H48" s="26"/>
      <c r="I48" s="27"/>
      <c r="J48" s="26"/>
      <c r="K48" s="28"/>
      <c r="L48" s="64"/>
      <c r="M48" s="26"/>
      <c r="N48" s="27"/>
      <c r="O48" s="26"/>
      <c r="P48" s="28"/>
      <c r="Q48" s="64"/>
      <c r="R48" s="26"/>
    </row>
    <row r="49" spans="1:18" x14ac:dyDescent="0.2">
      <c r="A49" s="26"/>
      <c r="B49" s="26"/>
      <c r="C49" s="26"/>
      <c r="D49" s="27">
        <v>30</v>
      </c>
      <c r="E49" s="26" t="s">
        <v>109</v>
      </c>
      <c r="F49" s="28">
        <v>8</v>
      </c>
      <c r="G49" s="64">
        <f>'Unit Cell Details'!$F$46+'Unit Cell Details'!$F$49</f>
        <v>0.55327721222222226</v>
      </c>
      <c r="H49" s="26"/>
      <c r="I49" s="27"/>
      <c r="J49" s="26"/>
      <c r="K49" s="28"/>
      <c r="L49" s="64"/>
      <c r="M49" s="26"/>
      <c r="N49" s="27"/>
      <c r="O49" s="26"/>
      <c r="P49" s="28"/>
      <c r="Q49" s="64"/>
      <c r="R49" s="26"/>
    </row>
    <row r="50" spans="1:18" x14ac:dyDescent="0.2">
      <c r="A50" s="26"/>
      <c r="B50" s="26"/>
      <c r="C50" s="26"/>
      <c r="D50" s="27">
        <v>31</v>
      </c>
      <c r="E50" s="26" t="s">
        <v>110</v>
      </c>
      <c r="F50" s="28">
        <v>8</v>
      </c>
      <c r="G50" s="64">
        <f>'Unit Cell Details'!$F$46+'Unit Cell Details'!$F$49</f>
        <v>0.55327721222222226</v>
      </c>
      <c r="H50" s="26"/>
      <c r="I50" s="27"/>
      <c r="J50" s="26"/>
      <c r="K50" s="28"/>
      <c r="L50" s="64"/>
      <c r="M50" s="26"/>
      <c r="N50" s="27"/>
      <c r="O50" s="26"/>
      <c r="P50" s="28"/>
      <c r="Q50" s="64"/>
      <c r="R50" s="26"/>
    </row>
    <row r="51" spans="1:18" x14ac:dyDescent="0.2">
      <c r="A51" s="26"/>
      <c r="B51" s="26"/>
      <c r="C51" s="26"/>
      <c r="D51" s="27">
        <v>32</v>
      </c>
      <c r="E51" s="26" t="s">
        <v>111</v>
      </c>
      <c r="F51" s="28">
        <v>8</v>
      </c>
      <c r="G51" s="64">
        <f>'Unit Cell Details'!$F$46+'Unit Cell Details'!$F$49</f>
        <v>0.55327721222222226</v>
      </c>
      <c r="H51" s="26"/>
      <c r="I51" s="27"/>
      <c r="J51" s="26"/>
      <c r="K51" s="28"/>
      <c r="L51" s="64"/>
      <c r="M51" s="26"/>
      <c r="N51" s="27"/>
      <c r="O51" s="26"/>
      <c r="P51" s="28"/>
      <c r="Q51" s="64"/>
      <c r="R51" s="26"/>
    </row>
    <row r="52" spans="1:18" x14ac:dyDescent="0.2">
      <c r="A52" s="26"/>
      <c r="B52" s="26"/>
      <c r="C52" s="26"/>
      <c r="D52" s="27"/>
      <c r="E52" s="26"/>
      <c r="F52" s="28"/>
      <c r="G52" s="64"/>
      <c r="H52" s="26"/>
      <c r="I52" s="27"/>
      <c r="J52" s="26"/>
      <c r="K52" s="28"/>
      <c r="L52" s="64"/>
      <c r="M52" s="26"/>
      <c r="N52" s="27"/>
      <c r="O52" s="26"/>
      <c r="P52" s="28"/>
      <c r="Q52" s="64"/>
      <c r="R52" s="26"/>
    </row>
    <row r="53" spans="1:18" x14ac:dyDescent="0.2">
      <c r="A53" s="26"/>
      <c r="B53" s="26"/>
      <c r="C53" s="26"/>
      <c r="D53" s="27">
        <v>33</v>
      </c>
      <c r="E53" s="26" t="s">
        <v>113</v>
      </c>
      <c r="F53" s="28">
        <v>18</v>
      </c>
      <c r="G53" s="64"/>
      <c r="H53" s="26"/>
      <c r="I53" s="27"/>
      <c r="J53" s="26"/>
      <c r="K53" s="28"/>
      <c r="L53" s="64"/>
      <c r="M53" s="26"/>
      <c r="N53" s="27"/>
      <c r="O53" s="26"/>
      <c r="P53" s="28"/>
      <c r="Q53" s="64"/>
      <c r="R53" s="26"/>
    </row>
    <row r="54" spans="1:18" x14ac:dyDescent="0.2">
      <c r="A54" s="26"/>
      <c r="B54" s="26"/>
      <c r="C54" s="26"/>
      <c r="D54" s="27"/>
      <c r="E54" s="26"/>
      <c r="F54" s="28"/>
      <c r="G54" s="64"/>
      <c r="H54" s="26"/>
      <c r="I54" s="27"/>
      <c r="J54" s="26"/>
      <c r="K54" s="28"/>
      <c r="L54" s="64"/>
      <c r="M54" s="26"/>
      <c r="N54" s="27"/>
      <c r="O54" s="26"/>
      <c r="P54" s="28"/>
      <c r="Q54" s="64"/>
      <c r="R54" s="26"/>
    </row>
    <row r="55" spans="1:18" x14ac:dyDescent="0.2">
      <c r="A55" s="26"/>
      <c r="B55" s="26"/>
      <c r="C55" s="26"/>
      <c r="D55" s="27"/>
      <c r="E55" s="26"/>
      <c r="F55" s="28"/>
      <c r="G55" s="64"/>
      <c r="H55" s="26"/>
      <c r="I55" s="27"/>
      <c r="J55" s="26"/>
      <c r="K55" s="28"/>
      <c r="L55" s="64"/>
      <c r="M55" s="26"/>
      <c r="N55" s="27"/>
      <c r="O55" s="26"/>
      <c r="P55" s="28"/>
      <c r="Q55" s="64"/>
      <c r="R55" s="26"/>
    </row>
    <row r="56" spans="1:18" x14ac:dyDescent="0.2">
      <c r="A56" s="26"/>
      <c r="B56" s="26"/>
      <c r="C56" s="26"/>
      <c r="D56" s="27"/>
      <c r="E56" s="26"/>
      <c r="F56" s="28"/>
      <c r="G56" s="64"/>
      <c r="H56" s="26"/>
      <c r="I56" s="27"/>
      <c r="J56" s="26"/>
      <c r="K56" s="28"/>
      <c r="L56" s="64"/>
      <c r="M56" s="26"/>
      <c r="N56" s="27"/>
      <c r="O56" s="26"/>
      <c r="P56" s="28"/>
      <c r="Q56" s="64"/>
      <c r="R56" s="26"/>
    </row>
    <row r="57" spans="1:18" x14ac:dyDescent="0.2">
      <c r="A57" s="26"/>
      <c r="B57" s="26"/>
      <c r="C57" s="26"/>
      <c r="D57" s="27"/>
      <c r="E57" s="26"/>
      <c r="F57" s="28"/>
      <c r="G57" s="64"/>
      <c r="H57" s="26"/>
      <c r="I57" s="27"/>
      <c r="J57" s="26"/>
      <c r="K57" s="28"/>
      <c r="L57" s="64"/>
      <c r="M57" s="26"/>
      <c r="N57" s="27"/>
      <c r="O57" s="26"/>
      <c r="P57" s="28"/>
      <c r="Q57" s="64"/>
      <c r="R57" s="26"/>
    </row>
    <row r="58" spans="1:18" x14ac:dyDescent="0.2">
      <c r="A58" s="26"/>
      <c r="B58" s="26"/>
      <c r="C58" s="26"/>
      <c r="D58" s="27"/>
      <c r="E58" s="26"/>
      <c r="F58" s="28"/>
      <c r="G58" s="64"/>
      <c r="H58" s="26"/>
      <c r="I58" s="27"/>
      <c r="J58" s="26"/>
      <c r="K58" s="28"/>
      <c r="L58" s="64"/>
      <c r="M58" s="26"/>
      <c r="N58" s="27"/>
      <c r="O58" s="26"/>
      <c r="P58" s="28"/>
      <c r="Q58" s="64"/>
      <c r="R58" s="26"/>
    </row>
    <row r="59" spans="1:18" x14ac:dyDescent="0.2">
      <c r="A59" s="26"/>
      <c r="B59" s="26"/>
      <c r="C59" s="26"/>
      <c r="D59" s="27"/>
      <c r="E59" s="26"/>
      <c r="F59" s="28"/>
      <c r="G59" s="64"/>
      <c r="H59" s="26"/>
      <c r="I59" s="27"/>
      <c r="J59" s="26"/>
      <c r="K59" s="28"/>
      <c r="L59" s="64"/>
      <c r="M59" s="26"/>
      <c r="N59" s="27"/>
      <c r="O59" s="26"/>
      <c r="P59" s="28"/>
      <c r="Q59" s="64"/>
      <c r="R59" s="26"/>
    </row>
    <row r="60" spans="1:18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</row>
    <row r="61" spans="1:18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</row>
    <row r="62" spans="1:18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</row>
    <row r="63" spans="1:18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</row>
  </sheetData>
  <mergeCells count="13">
    <mergeCell ref="A18:B20"/>
    <mergeCell ref="A2:A3"/>
    <mergeCell ref="D13:G13"/>
    <mergeCell ref="I13:L13"/>
    <mergeCell ref="N13:Q13"/>
    <mergeCell ref="D14:D15"/>
    <mergeCell ref="E14:E15"/>
    <mergeCell ref="I14:I15"/>
    <mergeCell ref="J14:J15"/>
    <mergeCell ref="N14:N15"/>
    <mergeCell ref="O14:O15"/>
    <mergeCell ref="A12:B14"/>
    <mergeCell ref="A15:B1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0CC01-9FCD-4CAE-A16E-F3E9C9641584}">
  <sheetPr codeName="Sheet30">
    <tabColor theme="9" tint="0.59999389629810485"/>
  </sheetPr>
  <dimension ref="A1:R63"/>
  <sheetViews>
    <sheetView workbookViewId="0"/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customWidth="1"/>
    <col min="8" max="8" width="1.6640625" customWidth="1"/>
    <col min="9" max="9" width="13.6640625" customWidth="1"/>
    <col min="10" max="10" width="54.6640625" customWidth="1"/>
    <col min="12" max="12" width="1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customWidth="1"/>
  </cols>
  <sheetData>
    <row r="1" spans="1:1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18" x14ac:dyDescent="0.2">
      <c r="A2" s="247" t="s">
        <v>153</v>
      </c>
      <c r="B2" s="99"/>
      <c r="C2" s="26"/>
      <c r="D2" s="26"/>
      <c r="E2" s="69" t="s">
        <v>188</v>
      </c>
      <c r="F2" s="70" t="s">
        <v>90</v>
      </c>
      <c r="G2" s="70" t="s">
        <v>90</v>
      </c>
      <c r="H2" s="26"/>
      <c r="I2" s="26"/>
      <c r="J2" s="69" t="s">
        <v>121</v>
      </c>
      <c r="K2" s="70" t="s">
        <v>90</v>
      </c>
      <c r="L2" s="26"/>
      <c r="M2" s="26"/>
      <c r="N2" s="26"/>
      <c r="O2" s="26"/>
      <c r="P2" s="26"/>
      <c r="Q2" s="26"/>
      <c r="R2" s="26"/>
    </row>
    <row r="3" spans="1:18" x14ac:dyDescent="0.2">
      <c r="A3" s="248"/>
      <c r="B3" s="110">
        <f>Main!F7</f>
        <v>1</v>
      </c>
      <c r="C3" s="26"/>
      <c r="D3" s="26"/>
      <c r="E3" s="66" t="s">
        <v>189</v>
      </c>
      <c r="F3" s="67">
        <f>F12/24</f>
        <v>4.166666666666667</v>
      </c>
      <c r="G3" s="67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2">
      <c r="A4" s="26"/>
      <c r="B4" s="106" t="s">
        <v>223</v>
      </c>
      <c r="C4" s="109" t="s">
        <v>222</v>
      </c>
      <c r="D4" s="60"/>
      <c r="E4" s="26" t="s">
        <v>187</v>
      </c>
      <c r="F4" s="64">
        <f>P12/24</f>
        <v>11</v>
      </c>
      <c r="G4" s="64">
        <f>Q12/24</f>
        <v>0.54872049000000001</v>
      </c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2">
      <c r="A5" s="103" t="s">
        <v>192</v>
      </c>
      <c r="B5" s="107">
        <f>F3+(F7)*(IF(B2&lt;&gt;"",B2,B3)-1)</f>
        <v>4.166666666666667</v>
      </c>
      <c r="C5" s="111">
        <f>F3+(F7)*(IF(B2&lt;&gt;"",B2,B3)-1)</f>
        <v>4.166666666666667</v>
      </c>
      <c r="D5" s="105" t="s">
        <v>38</v>
      </c>
      <c r="E5" s="26"/>
      <c r="F5" s="64"/>
      <c r="G5" s="68"/>
      <c r="H5" s="26"/>
      <c r="I5" s="26"/>
      <c r="J5" s="71" t="s">
        <v>116</v>
      </c>
      <c r="K5" s="72">
        <f>K12/24</f>
        <v>5</v>
      </c>
      <c r="L5" s="26"/>
      <c r="M5" s="26"/>
      <c r="N5" s="26"/>
      <c r="O5" s="26"/>
      <c r="P5" s="26"/>
      <c r="Q5" s="26"/>
      <c r="R5" s="26"/>
    </row>
    <row r="6" spans="1:18" x14ac:dyDescent="0.2">
      <c r="A6" s="31" t="s">
        <v>193</v>
      </c>
      <c r="B6" s="108">
        <f>F4+(F8)*(IF(B2&lt;&gt;"",B2,B3)-1)</f>
        <v>11</v>
      </c>
      <c r="C6" s="112">
        <f>F4+G4+(F8+G8)*(IF(B2&lt;&gt;"",B2,B3)-1)</f>
        <v>11.548720490000001</v>
      </c>
      <c r="D6" s="33" t="s">
        <v>38</v>
      </c>
      <c r="E6" s="100" t="s">
        <v>120</v>
      </c>
      <c r="F6" s="70" t="s">
        <v>90</v>
      </c>
      <c r="G6" s="70" t="s">
        <v>90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2">
      <c r="A7" s="26"/>
      <c r="B7" s="62"/>
      <c r="C7" s="62"/>
      <c r="D7" s="26"/>
      <c r="E7" s="30" t="s">
        <v>190</v>
      </c>
      <c r="F7" s="64">
        <f>F12/24+F18/24</f>
        <v>4.916666666666667</v>
      </c>
      <c r="G7" s="64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2">
      <c r="A8" s="26"/>
      <c r="B8" s="26"/>
      <c r="C8" s="26"/>
      <c r="D8" s="26"/>
      <c r="E8" s="31" t="s">
        <v>191</v>
      </c>
      <c r="F8" s="68">
        <f>P12/24+P49/24</f>
        <v>11.75</v>
      </c>
      <c r="G8" s="68">
        <f>Q12/24+Q49/24</f>
        <v>0.54872049000000001</v>
      </c>
      <c r="H8" s="26"/>
      <c r="I8" s="26"/>
      <c r="J8" s="71" t="s">
        <v>116</v>
      </c>
      <c r="K8" s="72">
        <f>K5</f>
        <v>5</v>
      </c>
      <c r="L8" s="26"/>
      <c r="M8" s="26"/>
      <c r="N8" s="26"/>
      <c r="O8" s="26"/>
      <c r="P8" s="26"/>
      <c r="Q8" s="26"/>
      <c r="R8" s="26"/>
    </row>
    <row r="9" spans="1:18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1:18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18" x14ac:dyDescent="0.2">
      <c r="A11" s="26"/>
      <c r="B11" s="26"/>
      <c r="C11" s="26"/>
      <c r="D11" s="42"/>
      <c r="E11" s="43" t="s">
        <v>85</v>
      </c>
      <c r="F11" s="76"/>
      <c r="G11" s="44"/>
      <c r="H11" s="136"/>
      <c r="I11" s="42"/>
      <c r="J11" s="43" t="s">
        <v>84</v>
      </c>
      <c r="K11" s="76"/>
      <c r="L11" s="44"/>
      <c r="M11" s="136"/>
      <c r="N11" s="42"/>
      <c r="O11" s="43" t="s">
        <v>186</v>
      </c>
      <c r="P11" s="44"/>
      <c r="Q11" s="44"/>
      <c r="R11" s="26"/>
    </row>
    <row r="12" spans="1:18" x14ac:dyDescent="0.2">
      <c r="A12" s="26"/>
      <c r="B12" s="26"/>
      <c r="C12" s="26"/>
      <c r="D12" s="35" t="s">
        <v>112</v>
      </c>
      <c r="E12" s="36"/>
      <c r="F12" s="77">
        <f>SUM(F16:F59)</f>
        <v>100</v>
      </c>
      <c r="G12" s="94">
        <f>SUM(G16:G59)</f>
        <v>0</v>
      </c>
      <c r="H12" s="136"/>
      <c r="I12" s="35" t="s">
        <v>112</v>
      </c>
      <c r="J12" s="36"/>
      <c r="K12" s="77">
        <f>SUM(K16:K59)</f>
        <v>120</v>
      </c>
      <c r="L12" s="94">
        <f>SUM(L16:L59)</f>
        <v>0</v>
      </c>
      <c r="M12" s="136"/>
      <c r="N12" s="35"/>
      <c r="O12" s="36"/>
      <c r="P12" s="37">
        <f>SUM(P16:P59)</f>
        <v>264</v>
      </c>
      <c r="Q12" s="94">
        <f>SUM(Q16:Q59)</f>
        <v>13.16929176</v>
      </c>
      <c r="R12" s="26"/>
    </row>
    <row r="13" spans="1:18" x14ac:dyDescent="0.2">
      <c r="A13" s="26"/>
      <c r="B13" s="26"/>
      <c r="C13" s="26"/>
      <c r="D13" s="253"/>
      <c r="E13" s="254"/>
      <c r="F13" s="254"/>
      <c r="G13" s="255"/>
      <c r="H13" s="136"/>
      <c r="I13" s="253"/>
      <c r="J13" s="254"/>
      <c r="K13" s="254"/>
      <c r="L13" s="255"/>
      <c r="M13" s="136"/>
      <c r="N13" s="253"/>
      <c r="O13" s="254"/>
      <c r="P13" s="254"/>
      <c r="Q13" s="255"/>
      <c r="R13" s="30"/>
    </row>
    <row r="14" spans="1:18" x14ac:dyDescent="0.2">
      <c r="A14" s="26"/>
      <c r="B14" s="26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61" t="s">
        <v>83</v>
      </c>
      <c r="J14" s="262" t="s">
        <v>16</v>
      </c>
      <c r="K14" s="138" t="s">
        <v>17</v>
      </c>
      <c r="L14" s="138" t="s">
        <v>215</v>
      </c>
      <c r="M14" s="136"/>
      <c r="N14" s="249" t="s">
        <v>83</v>
      </c>
      <c r="O14" s="251"/>
      <c r="P14" s="39"/>
      <c r="Q14" s="39" t="s">
        <v>215</v>
      </c>
      <c r="R14" s="26"/>
    </row>
    <row r="15" spans="1:18" x14ac:dyDescent="0.2">
      <c r="A15" s="26"/>
      <c r="B15" s="26"/>
      <c r="C15" s="26"/>
      <c r="D15" s="250"/>
      <c r="E15" s="252"/>
      <c r="F15" s="41" t="s">
        <v>18</v>
      </c>
      <c r="G15" s="41" t="s">
        <v>18</v>
      </c>
      <c r="H15" s="26"/>
      <c r="I15" s="250"/>
      <c r="J15" s="252"/>
      <c r="K15" s="41" t="s">
        <v>18</v>
      </c>
      <c r="L15" s="41" t="s">
        <v>18</v>
      </c>
      <c r="M15" s="26"/>
      <c r="N15" s="250"/>
      <c r="O15" s="252"/>
      <c r="P15" s="41"/>
      <c r="Q15" s="41" t="s">
        <v>18</v>
      </c>
      <c r="R15" s="26"/>
    </row>
    <row r="16" spans="1:18" x14ac:dyDescent="0.2">
      <c r="A16" s="26"/>
      <c r="B16" s="26"/>
      <c r="C16" s="26"/>
      <c r="D16" s="27">
        <v>1</v>
      </c>
      <c r="E16" s="26" t="s">
        <v>281</v>
      </c>
      <c r="F16" s="28">
        <v>12</v>
      </c>
      <c r="G16" s="28"/>
      <c r="H16" s="26"/>
      <c r="I16" s="27"/>
      <c r="J16" s="26" t="s">
        <v>174</v>
      </c>
      <c r="K16" s="28">
        <v>24</v>
      </c>
      <c r="L16" s="28"/>
      <c r="M16" s="26"/>
      <c r="N16" s="27"/>
      <c r="O16" s="26" t="s">
        <v>19</v>
      </c>
      <c r="P16" s="28">
        <v>1</v>
      </c>
      <c r="Q16" s="28"/>
      <c r="R16" s="26"/>
    </row>
    <row r="17" spans="1:18" x14ac:dyDescent="0.2">
      <c r="A17" s="26"/>
      <c r="B17" s="26"/>
      <c r="C17" s="26"/>
      <c r="D17" s="27">
        <v>2</v>
      </c>
      <c r="E17" s="26" t="s">
        <v>163</v>
      </c>
      <c r="F17" s="28">
        <v>6</v>
      </c>
      <c r="G17" s="28"/>
      <c r="H17" s="26"/>
      <c r="I17" s="27"/>
      <c r="J17" s="26" t="s">
        <v>163</v>
      </c>
      <c r="K17" s="28">
        <v>6</v>
      </c>
      <c r="L17" s="28"/>
      <c r="M17" s="26"/>
      <c r="N17" s="27"/>
      <c r="O17" s="26" t="s">
        <v>20</v>
      </c>
      <c r="P17" s="28">
        <v>2</v>
      </c>
      <c r="Q17" s="64">
        <f>'Unit Cell Details'!$F$46</f>
        <v>0.56239065666666666</v>
      </c>
      <c r="R17" s="26"/>
    </row>
    <row r="18" spans="1:18" x14ac:dyDescent="0.2">
      <c r="A18" s="26"/>
      <c r="B18" s="26"/>
      <c r="C18" s="26"/>
      <c r="D18" s="27">
        <v>3</v>
      </c>
      <c r="E18" s="26" t="s">
        <v>139</v>
      </c>
      <c r="F18" s="28">
        <v>18</v>
      </c>
      <c r="G18" s="28"/>
      <c r="H18" s="26"/>
      <c r="I18" s="27"/>
      <c r="J18" s="26" t="s">
        <v>139</v>
      </c>
      <c r="K18" s="28">
        <v>24</v>
      </c>
      <c r="L18" s="28"/>
      <c r="M18" s="26"/>
      <c r="N18" s="27"/>
      <c r="O18" s="26" t="s">
        <v>21</v>
      </c>
      <c r="P18" s="28">
        <v>2</v>
      </c>
      <c r="Q18" s="64">
        <f>'Unit Cell Details'!$F$46</f>
        <v>0.56239065666666666</v>
      </c>
      <c r="R18" s="26"/>
    </row>
    <row r="19" spans="1:18" x14ac:dyDescent="0.2">
      <c r="A19" s="26"/>
      <c r="B19" s="26"/>
      <c r="C19" s="26"/>
      <c r="D19" s="27"/>
      <c r="E19" s="26"/>
      <c r="F19" s="28"/>
      <c r="G19" s="28"/>
      <c r="H19" s="26"/>
      <c r="I19" s="27"/>
      <c r="J19" s="26"/>
      <c r="K19" s="28"/>
      <c r="L19" s="28"/>
      <c r="M19" s="26"/>
      <c r="N19" s="27"/>
      <c r="O19" s="26" t="s">
        <v>22</v>
      </c>
      <c r="P19" s="28">
        <v>2</v>
      </c>
      <c r="Q19" s="64">
        <f>'Unit Cell Details'!$F$46</f>
        <v>0.56239065666666666</v>
      </c>
      <c r="R19" s="26"/>
    </row>
    <row r="20" spans="1:18" x14ac:dyDescent="0.2">
      <c r="A20" s="26"/>
      <c r="B20" s="26"/>
      <c r="C20" s="26"/>
      <c r="D20" s="27">
        <v>4</v>
      </c>
      <c r="E20" s="26" t="s">
        <v>164</v>
      </c>
      <c r="F20" s="28">
        <v>8</v>
      </c>
      <c r="G20" s="28"/>
      <c r="H20" s="26"/>
      <c r="I20" s="27"/>
      <c r="J20" s="26"/>
      <c r="K20" s="28"/>
      <c r="L20" s="28"/>
      <c r="M20" s="26"/>
      <c r="N20" s="27"/>
      <c r="O20" s="26" t="s">
        <v>180</v>
      </c>
      <c r="P20" s="28">
        <v>2</v>
      </c>
      <c r="Q20" s="64">
        <f>'Unit Cell Details'!$F$46</f>
        <v>0.56239065666666666</v>
      </c>
      <c r="R20" s="26"/>
    </row>
    <row r="21" spans="1:18" x14ac:dyDescent="0.2">
      <c r="A21" s="26"/>
      <c r="B21" s="26"/>
      <c r="C21" s="26"/>
      <c r="D21" s="27">
        <v>5</v>
      </c>
      <c r="E21" s="26" t="s">
        <v>165</v>
      </c>
      <c r="F21" s="28">
        <v>8</v>
      </c>
      <c r="G21" s="28"/>
      <c r="H21" s="26"/>
      <c r="I21" s="27"/>
      <c r="J21" s="26"/>
      <c r="K21" s="28"/>
      <c r="L21" s="28"/>
      <c r="M21" s="26"/>
      <c r="N21" s="27"/>
      <c r="O21" s="26" t="s">
        <v>23</v>
      </c>
      <c r="P21" s="28">
        <v>1.5</v>
      </c>
      <c r="Q21" s="64">
        <f>'Unit Cell Details'!$F$49</f>
        <v>-9.1134444444444448E-3</v>
      </c>
      <c r="R21" s="26"/>
    </row>
    <row r="22" spans="1:18" x14ac:dyDescent="0.2">
      <c r="A22" s="26"/>
      <c r="B22" s="26"/>
      <c r="C22" s="26"/>
      <c r="D22" s="27">
        <v>6</v>
      </c>
      <c r="E22" s="26" t="s">
        <v>288</v>
      </c>
      <c r="F22" s="28">
        <v>8</v>
      </c>
      <c r="G22" s="28"/>
      <c r="H22" s="26"/>
      <c r="I22" s="27"/>
      <c r="J22" s="26" t="s">
        <v>282</v>
      </c>
      <c r="K22" s="28">
        <v>8</v>
      </c>
      <c r="L22" s="28"/>
      <c r="M22" s="26"/>
      <c r="N22" s="27"/>
      <c r="O22" s="26" t="s">
        <v>23</v>
      </c>
      <c r="P22" s="28">
        <v>1.5</v>
      </c>
      <c r="Q22" s="64">
        <f>'Unit Cell Details'!$F$49</f>
        <v>-9.1134444444444448E-3</v>
      </c>
      <c r="R22" s="26"/>
    </row>
    <row r="23" spans="1:18" x14ac:dyDescent="0.2">
      <c r="A23" s="26"/>
      <c r="B23" s="26"/>
      <c r="C23" s="26"/>
      <c r="D23" s="27">
        <v>7</v>
      </c>
      <c r="E23" s="26" t="s">
        <v>289</v>
      </c>
      <c r="F23" s="28">
        <v>8</v>
      </c>
      <c r="G23" s="28"/>
      <c r="H23" s="26"/>
      <c r="I23" s="27"/>
      <c r="J23" s="26" t="s">
        <v>283</v>
      </c>
      <c r="K23" s="28">
        <v>8</v>
      </c>
      <c r="L23" s="28"/>
      <c r="M23" s="26"/>
      <c r="N23" s="27"/>
      <c r="O23" s="26" t="s">
        <v>23</v>
      </c>
      <c r="P23" s="28">
        <v>1.5</v>
      </c>
      <c r="Q23" s="64">
        <f>'Unit Cell Details'!$F$49</f>
        <v>-9.1134444444444448E-3</v>
      </c>
      <c r="R23" s="26"/>
    </row>
    <row r="24" spans="1:18" x14ac:dyDescent="0.2">
      <c r="A24" s="26"/>
      <c r="B24" s="26"/>
      <c r="C24" s="26"/>
      <c r="D24" s="27">
        <v>8</v>
      </c>
      <c r="E24" s="26" t="s">
        <v>290</v>
      </c>
      <c r="F24" s="28">
        <v>8</v>
      </c>
      <c r="G24" s="28"/>
      <c r="H24" s="26"/>
      <c r="I24" s="27"/>
      <c r="J24" s="26" t="s">
        <v>284</v>
      </c>
      <c r="K24" s="28">
        <v>8</v>
      </c>
      <c r="L24" s="28"/>
      <c r="M24" s="26"/>
      <c r="N24" s="27"/>
      <c r="O24" s="26" t="s">
        <v>23</v>
      </c>
      <c r="P24" s="28">
        <v>1.5</v>
      </c>
      <c r="Q24" s="64">
        <f>'Unit Cell Details'!$F$49</f>
        <v>-9.1134444444444448E-3</v>
      </c>
      <c r="R24" s="26"/>
    </row>
    <row r="25" spans="1:18" x14ac:dyDescent="0.2">
      <c r="A25" s="26"/>
      <c r="B25" s="26"/>
      <c r="C25" s="26"/>
      <c r="D25" s="27">
        <v>9</v>
      </c>
      <c r="E25" s="26" t="s">
        <v>291</v>
      </c>
      <c r="F25" s="28">
        <v>8</v>
      </c>
      <c r="G25" s="28"/>
      <c r="H25" s="26"/>
      <c r="I25" s="27"/>
      <c r="J25" s="26" t="s">
        <v>285</v>
      </c>
      <c r="K25" s="28">
        <v>8</v>
      </c>
      <c r="L25" s="28"/>
      <c r="M25" s="26"/>
      <c r="N25" s="27"/>
      <c r="O25" s="26" t="s">
        <v>23</v>
      </c>
      <c r="P25" s="28">
        <v>1.5</v>
      </c>
      <c r="Q25" s="64">
        <f>'Unit Cell Details'!$F$49</f>
        <v>-9.1134444444444448E-3</v>
      </c>
      <c r="R25" s="26"/>
    </row>
    <row r="26" spans="1:18" x14ac:dyDescent="0.2">
      <c r="A26" s="26"/>
      <c r="B26" s="26"/>
      <c r="C26" s="26"/>
      <c r="D26" s="27">
        <v>10</v>
      </c>
      <c r="E26" s="26" t="s">
        <v>292</v>
      </c>
      <c r="F26" s="28">
        <v>8</v>
      </c>
      <c r="G26" s="28"/>
      <c r="H26" s="26"/>
      <c r="I26" s="27"/>
      <c r="J26" s="26" t="s">
        <v>286</v>
      </c>
      <c r="K26" s="28">
        <v>8</v>
      </c>
      <c r="L26" s="28"/>
      <c r="M26" s="26"/>
      <c r="N26" s="27"/>
      <c r="O26" s="26" t="s">
        <v>23</v>
      </c>
      <c r="P26" s="28">
        <v>1.5</v>
      </c>
      <c r="Q26" s="64">
        <f>'Unit Cell Details'!$F$49</f>
        <v>-9.1134444444444448E-3</v>
      </c>
      <c r="R26" s="26"/>
    </row>
    <row r="27" spans="1:18" x14ac:dyDescent="0.2">
      <c r="A27" s="26"/>
      <c r="B27" s="26"/>
      <c r="C27" s="26"/>
      <c r="D27" s="27">
        <v>11</v>
      </c>
      <c r="E27" s="26" t="s">
        <v>293</v>
      </c>
      <c r="F27" s="28">
        <v>8</v>
      </c>
      <c r="G27" s="28"/>
      <c r="H27" s="26"/>
      <c r="I27" s="27"/>
      <c r="J27" s="26" t="s">
        <v>287</v>
      </c>
      <c r="K27" s="28">
        <v>2</v>
      </c>
      <c r="L27" s="28"/>
      <c r="M27" s="26"/>
      <c r="N27" s="27"/>
      <c r="O27" s="26" t="s">
        <v>23</v>
      </c>
      <c r="P27" s="28">
        <v>1.5</v>
      </c>
      <c r="Q27" s="64">
        <f>'Unit Cell Details'!$F$49</f>
        <v>-9.1134444444444448E-3</v>
      </c>
      <c r="R27" s="26"/>
    </row>
    <row r="28" spans="1:18" x14ac:dyDescent="0.2">
      <c r="A28" s="26"/>
      <c r="B28" s="26"/>
      <c r="C28" s="26"/>
      <c r="D28" s="27"/>
      <c r="E28" s="26"/>
      <c r="F28" s="28"/>
      <c r="G28" s="28"/>
      <c r="H28" s="26"/>
      <c r="I28" s="27"/>
      <c r="J28" s="26"/>
      <c r="K28" s="28"/>
      <c r="L28" s="28"/>
      <c r="M28" s="26"/>
      <c r="N28" s="27"/>
      <c r="O28" s="26" t="s">
        <v>23</v>
      </c>
      <c r="P28" s="28">
        <v>1.5</v>
      </c>
      <c r="Q28" s="64">
        <f>'Unit Cell Details'!$F$49</f>
        <v>-9.1134444444444448E-3</v>
      </c>
      <c r="R28" s="26"/>
    </row>
    <row r="29" spans="1:18" x14ac:dyDescent="0.2">
      <c r="A29" s="26"/>
      <c r="B29" s="26"/>
      <c r="C29" s="26"/>
      <c r="D29" s="27"/>
      <c r="E29" s="26"/>
      <c r="F29" s="28"/>
      <c r="G29" s="28"/>
      <c r="H29" s="26"/>
      <c r="I29" s="27"/>
      <c r="J29" s="26" t="s">
        <v>177</v>
      </c>
      <c r="K29" s="28">
        <v>24</v>
      </c>
      <c r="L29" s="28"/>
      <c r="M29" s="26"/>
      <c r="N29" s="27"/>
      <c r="O29" s="26" t="s">
        <v>25</v>
      </c>
      <c r="P29" s="28">
        <v>2</v>
      </c>
      <c r="Q29" s="28"/>
      <c r="R29" s="26"/>
    </row>
    <row r="30" spans="1:18" x14ac:dyDescent="0.2">
      <c r="A30" s="26"/>
      <c r="B30" s="26"/>
      <c r="C30" s="26"/>
      <c r="D30" s="27"/>
      <c r="E30" s="26"/>
      <c r="F30" s="28"/>
      <c r="G30" s="28"/>
      <c r="H30" s="26"/>
      <c r="I30" s="27"/>
      <c r="J30" s="26"/>
      <c r="K30" s="28"/>
      <c r="L30" s="28"/>
      <c r="M30" s="26"/>
      <c r="N30" s="27"/>
      <c r="O30" s="26" t="s">
        <v>26</v>
      </c>
      <c r="P30" s="28">
        <v>3</v>
      </c>
      <c r="Q30" s="28"/>
      <c r="R30" s="26"/>
    </row>
    <row r="31" spans="1:18" x14ac:dyDescent="0.2">
      <c r="A31" s="26"/>
      <c r="B31" s="26"/>
      <c r="C31" s="26"/>
      <c r="D31" s="27"/>
      <c r="E31" s="26"/>
      <c r="F31" s="28"/>
      <c r="G31" s="28"/>
      <c r="H31" s="26"/>
      <c r="I31" s="27"/>
      <c r="J31" s="26"/>
      <c r="K31" s="28"/>
      <c r="L31" s="28"/>
      <c r="M31" s="26"/>
      <c r="N31" s="27"/>
      <c r="O31" s="26"/>
      <c r="P31" s="28"/>
      <c r="Q31" s="28"/>
      <c r="R31" s="26"/>
    </row>
    <row r="32" spans="1:18" x14ac:dyDescent="0.2">
      <c r="A32" s="26"/>
      <c r="B32" s="26"/>
      <c r="C32" s="26"/>
      <c r="D32" s="27"/>
      <c r="E32" s="26"/>
      <c r="F32" s="28"/>
      <c r="G32" s="28"/>
      <c r="H32" s="26"/>
      <c r="I32" s="27"/>
      <c r="J32" s="26"/>
      <c r="K32" s="28"/>
      <c r="L32" s="28"/>
      <c r="M32" s="26"/>
      <c r="N32" s="27"/>
      <c r="O32" s="26"/>
      <c r="P32" s="28"/>
      <c r="Q32" s="28"/>
      <c r="R32" s="26"/>
    </row>
    <row r="33" spans="1:18" x14ac:dyDescent="0.2">
      <c r="A33" s="26"/>
      <c r="B33" s="26"/>
      <c r="C33" s="26"/>
      <c r="D33" s="27"/>
      <c r="E33" s="26"/>
      <c r="F33" s="28"/>
      <c r="G33" s="28"/>
      <c r="H33" s="26"/>
      <c r="I33" s="27"/>
      <c r="J33" s="26"/>
      <c r="K33" s="28"/>
      <c r="L33" s="28"/>
      <c r="M33" s="26"/>
      <c r="N33" s="27"/>
      <c r="O33" s="26"/>
      <c r="P33" s="28"/>
      <c r="Q33" s="28"/>
      <c r="R33" s="26"/>
    </row>
    <row r="34" spans="1:18" x14ac:dyDescent="0.2">
      <c r="A34" s="26"/>
      <c r="B34" s="26"/>
      <c r="C34" s="26"/>
      <c r="D34" s="27"/>
      <c r="E34" s="26"/>
      <c r="F34" s="28"/>
      <c r="G34" s="28"/>
      <c r="H34" s="26"/>
      <c r="I34" s="27"/>
      <c r="J34" s="26"/>
      <c r="K34" s="28"/>
      <c r="L34" s="28"/>
      <c r="M34" s="26"/>
      <c r="N34" s="27"/>
      <c r="O34" s="26" t="s">
        <v>181</v>
      </c>
      <c r="P34" s="28">
        <v>18</v>
      </c>
      <c r="Q34" s="28"/>
      <c r="R34" s="26"/>
    </row>
    <row r="35" spans="1:18" x14ac:dyDescent="0.2">
      <c r="A35" s="26"/>
      <c r="B35" s="26"/>
      <c r="C35" s="26"/>
      <c r="D35" s="27"/>
      <c r="E35" s="26"/>
      <c r="F35" s="28"/>
      <c r="G35" s="28"/>
      <c r="H35" s="26"/>
      <c r="I35" s="27"/>
      <c r="J35" s="26"/>
      <c r="K35" s="28"/>
      <c r="L35" s="28"/>
      <c r="M35" s="26"/>
      <c r="N35" s="27"/>
      <c r="O35" s="26"/>
      <c r="P35" s="28"/>
      <c r="Q35" s="28"/>
      <c r="R35" s="26"/>
    </row>
    <row r="36" spans="1:18" x14ac:dyDescent="0.2">
      <c r="A36" s="26"/>
      <c r="B36" s="26"/>
      <c r="C36" s="26"/>
      <c r="D36" s="27"/>
      <c r="E36" s="26"/>
      <c r="F36" s="28"/>
      <c r="G36" s="28"/>
      <c r="H36" s="26"/>
      <c r="I36" s="27"/>
      <c r="J36" s="26"/>
      <c r="K36" s="28"/>
      <c r="L36" s="28"/>
      <c r="M36" s="26"/>
      <c r="N36" s="27"/>
      <c r="O36" s="26" t="s">
        <v>32</v>
      </c>
      <c r="P36" s="28">
        <v>8</v>
      </c>
      <c r="Q36" s="64">
        <f>'Unit Cell Details'!$F$46+'Unit Cell Details'!$F$49</f>
        <v>0.55327721222222226</v>
      </c>
      <c r="R36" s="26"/>
    </row>
    <row r="37" spans="1:18" x14ac:dyDescent="0.2">
      <c r="A37" s="26"/>
      <c r="B37" s="26"/>
      <c r="C37" s="26"/>
      <c r="D37" s="27"/>
      <c r="E37" s="26"/>
      <c r="F37" s="28"/>
      <c r="G37" s="28"/>
      <c r="H37" s="26"/>
      <c r="I37" s="27"/>
      <c r="J37" s="26"/>
      <c r="K37" s="28"/>
      <c r="L37" s="28"/>
      <c r="M37" s="26"/>
      <c r="N37" s="27"/>
      <c r="O37" s="26" t="s">
        <v>33</v>
      </c>
      <c r="P37" s="28">
        <v>8</v>
      </c>
      <c r="Q37" s="64">
        <f>'Unit Cell Details'!$F$46+'Unit Cell Details'!$F$49</f>
        <v>0.55327721222222226</v>
      </c>
      <c r="R37" s="26"/>
    </row>
    <row r="38" spans="1:18" x14ac:dyDescent="0.2">
      <c r="A38" s="26"/>
      <c r="B38" s="26"/>
      <c r="C38" s="26"/>
      <c r="D38" s="27"/>
      <c r="E38" s="26"/>
      <c r="F38" s="28"/>
      <c r="G38" s="28"/>
      <c r="H38" s="26"/>
      <c r="I38" s="27"/>
      <c r="J38" s="26"/>
      <c r="K38" s="28"/>
      <c r="L38" s="28"/>
      <c r="M38" s="26"/>
      <c r="N38" s="27"/>
      <c r="O38" s="26" t="s">
        <v>34</v>
      </c>
      <c r="P38" s="28">
        <v>8</v>
      </c>
      <c r="Q38" s="64">
        <f>'Unit Cell Details'!$F$46+'Unit Cell Details'!$F$49</f>
        <v>0.55327721222222226</v>
      </c>
      <c r="R38" s="26"/>
    </row>
    <row r="39" spans="1:18" x14ac:dyDescent="0.2">
      <c r="A39" s="26"/>
      <c r="B39" s="26"/>
      <c r="C39" s="26"/>
      <c r="D39" s="27"/>
      <c r="E39" s="26"/>
      <c r="F39" s="28"/>
      <c r="G39" s="28"/>
      <c r="H39" s="26"/>
      <c r="I39" s="27"/>
      <c r="J39" s="26"/>
      <c r="K39" s="28"/>
      <c r="L39" s="28"/>
      <c r="M39" s="26"/>
      <c r="N39" s="27"/>
      <c r="O39" s="26" t="s">
        <v>182</v>
      </c>
      <c r="P39" s="28">
        <v>8</v>
      </c>
      <c r="Q39" s="64">
        <f>'Unit Cell Details'!$F$46+'Unit Cell Details'!$F$49</f>
        <v>0.55327721222222226</v>
      </c>
      <c r="R39" s="26"/>
    </row>
    <row r="40" spans="1:18" x14ac:dyDescent="0.2">
      <c r="A40" s="26"/>
      <c r="B40" s="26"/>
      <c r="C40" s="26"/>
      <c r="D40" s="27"/>
      <c r="E40" s="26"/>
      <c r="F40" s="28"/>
      <c r="G40" s="28"/>
      <c r="H40" s="26"/>
      <c r="I40" s="27"/>
      <c r="J40" s="26"/>
      <c r="K40" s="28"/>
      <c r="L40" s="28"/>
      <c r="M40" s="26"/>
      <c r="N40" s="27"/>
      <c r="O40" s="26"/>
      <c r="P40" s="28"/>
      <c r="Q40" s="28"/>
      <c r="R40" s="26"/>
    </row>
    <row r="41" spans="1:18" x14ac:dyDescent="0.2">
      <c r="A41" s="26"/>
      <c r="B41" s="26"/>
      <c r="C41" s="26"/>
      <c r="D41" s="27"/>
      <c r="E41" s="26"/>
      <c r="F41" s="28"/>
      <c r="G41" s="28"/>
      <c r="H41" s="26"/>
      <c r="I41" s="27"/>
      <c r="J41" s="26"/>
      <c r="K41" s="28"/>
      <c r="L41" s="28"/>
      <c r="M41" s="26"/>
      <c r="N41" s="27"/>
      <c r="O41" s="26" t="s">
        <v>183</v>
      </c>
      <c r="P41" s="28">
        <v>18</v>
      </c>
      <c r="Q41" s="28"/>
      <c r="R41" s="26"/>
    </row>
    <row r="42" spans="1:18" x14ac:dyDescent="0.2">
      <c r="A42" s="26"/>
      <c r="B42" s="26"/>
      <c r="C42" s="26"/>
      <c r="D42" s="27"/>
      <c r="E42" s="26"/>
      <c r="F42" s="28"/>
      <c r="G42" s="28"/>
      <c r="H42" s="26"/>
      <c r="I42" s="27"/>
      <c r="J42" s="26"/>
      <c r="K42" s="28"/>
      <c r="L42" s="28"/>
      <c r="M42" s="26"/>
      <c r="N42" s="27"/>
      <c r="O42" s="26"/>
      <c r="P42" s="28"/>
      <c r="Q42" s="28"/>
      <c r="R42" s="26"/>
    </row>
    <row r="43" spans="1:18" x14ac:dyDescent="0.2">
      <c r="A43" s="26"/>
      <c r="B43" s="26"/>
      <c r="C43" s="26"/>
      <c r="D43" s="27"/>
      <c r="E43" s="26"/>
      <c r="F43" s="28"/>
      <c r="G43" s="28"/>
      <c r="H43" s="26"/>
      <c r="I43" s="27"/>
      <c r="J43" s="26"/>
      <c r="K43" s="28"/>
      <c r="L43" s="28"/>
      <c r="M43" s="26"/>
      <c r="N43" s="27"/>
      <c r="O43" s="26" t="s">
        <v>184</v>
      </c>
      <c r="P43" s="28">
        <f>SUM($P$16:$P$30)</f>
        <v>26</v>
      </c>
      <c r="Q43" s="64">
        <f>SUM($Q$16:$Q$30)</f>
        <v>2.1766550711111106</v>
      </c>
      <c r="R43" s="26"/>
    </row>
    <row r="44" spans="1:18" x14ac:dyDescent="0.2">
      <c r="A44" s="26"/>
      <c r="B44" s="26"/>
      <c r="C44" s="26"/>
      <c r="D44" s="27"/>
      <c r="E44" s="26"/>
      <c r="F44" s="28"/>
      <c r="G44" s="28"/>
      <c r="H44" s="26"/>
      <c r="I44" s="27"/>
      <c r="J44" s="26"/>
      <c r="K44" s="28"/>
      <c r="L44" s="28"/>
      <c r="M44" s="26"/>
      <c r="N44" s="27"/>
      <c r="O44" s="26"/>
      <c r="P44" s="28"/>
      <c r="Q44" s="28"/>
      <c r="R44" s="26"/>
    </row>
    <row r="45" spans="1:18" x14ac:dyDescent="0.2">
      <c r="A45" s="26"/>
      <c r="B45" s="26"/>
      <c r="C45" s="26"/>
      <c r="D45" s="27"/>
      <c r="E45" s="26"/>
      <c r="F45" s="28"/>
      <c r="G45" s="28"/>
      <c r="H45" s="26"/>
      <c r="I45" s="27"/>
      <c r="J45" s="26"/>
      <c r="K45" s="28"/>
      <c r="L45" s="28"/>
      <c r="M45" s="26"/>
      <c r="N45" s="27"/>
      <c r="O45" s="26" t="s">
        <v>181</v>
      </c>
      <c r="P45" s="28">
        <v>18</v>
      </c>
      <c r="Q45" s="28"/>
      <c r="R45" s="26"/>
    </row>
    <row r="46" spans="1:18" x14ac:dyDescent="0.2">
      <c r="A46" s="26"/>
      <c r="B46" s="26"/>
      <c r="C46" s="26"/>
      <c r="D46" s="27"/>
      <c r="E46" s="26"/>
      <c r="F46" s="28"/>
      <c r="G46" s="28"/>
      <c r="H46" s="26"/>
      <c r="I46" s="27"/>
      <c r="J46" s="26"/>
      <c r="K46" s="28"/>
      <c r="L46" s="28"/>
      <c r="M46" s="26"/>
      <c r="N46" s="27"/>
      <c r="O46" s="26"/>
      <c r="P46" s="28"/>
      <c r="Q46" s="28"/>
      <c r="R46" s="26"/>
    </row>
    <row r="47" spans="1:18" x14ac:dyDescent="0.2">
      <c r="A47" s="26"/>
      <c r="B47" s="26"/>
      <c r="C47" s="26"/>
      <c r="D47" s="27"/>
      <c r="E47" s="26"/>
      <c r="F47" s="28"/>
      <c r="G47" s="28"/>
      <c r="H47" s="26"/>
      <c r="I47" s="27"/>
      <c r="J47" s="26"/>
      <c r="K47" s="28"/>
      <c r="L47" s="28"/>
      <c r="M47" s="26"/>
      <c r="N47" s="27"/>
      <c r="O47" s="26" t="s">
        <v>185</v>
      </c>
      <c r="P47" s="28">
        <f>SUM($P$36:$P$39)</f>
        <v>32</v>
      </c>
      <c r="Q47" s="64">
        <f>SUM($Q$36:$Q$39)</f>
        <v>2.213108848888889</v>
      </c>
      <c r="R47" s="26"/>
    </row>
    <row r="48" spans="1:18" x14ac:dyDescent="0.2">
      <c r="A48" s="26"/>
      <c r="B48" s="26"/>
      <c r="C48" s="26"/>
      <c r="D48" s="27"/>
      <c r="E48" s="26"/>
      <c r="F48" s="28"/>
      <c r="G48" s="28"/>
      <c r="H48" s="26"/>
      <c r="I48" s="27"/>
      <c r="J48" s="26"/>
      <c r="K48" s="28"/>
      <c r="L48" s="28"/>
      <c r="M48" s="26"/>
      <c r="N48" s="27"/>
      <c r="O48" s="26"/>
      <c r="P48" s="28"/>
      <c r="Q48" s="28"/>
      <c r="R48" s="26"/>
    </row>
    <row r="49" spans="1:18" x14ac:dyDescent="0.2">
      <c r="A49" s="26"/>
      <c r="B49" s="26"/>
      <c r="C49" s="26"/>
      <c r="D49" s="27"/>
      <c r="E49" s="26"/>
      <c r="F49" s="28"/>
      <c r="G49" s="28"/>
      <c r="H49" s="26"/>
      <c r="I49" s="27"/>
      <c r="J49" s="26"/>
      <c r="K49" s="28"/>
      <c r="L49" s="28"/>
      <c r="M49" s="26"/>
      <c r="N49" s="27"/>
      <c r="O49" s="26" t="s">
        <v>183</v>
      </c>
      <c r="P49" s="28">
        <v>18</v>
      </c>
      <c r="Q49" s="28"/>
      <c r="R49" s="26"/>
    </row>
    <row r="50" spans="1:18" x14ac:dyDescent="0.2">
      <c r="A50" s="26"/>
      <c r="B50" s="26"/>
      <c r="C50" s="26"/>
      <c r="D50" s="27"/>
      <c r="E50" s="26"/>
      <c r="F50" s="28"/>
      <c r="G50" s="28"/>
      <c r="H50" s="26"/>
      <c r="I50" s="27"/>
      <c r="J50" s="26"/>
      <c r="K50" s="28"/>
      <c r="L50" s="28"/>
      <c r="M50" s="26"/>
      <c r="N50" s="27"/>
      <c r="O50" s="26"/>
      <c r="P50" s="28"/>
      <c r="Q50" s="28"/>
      <c r="R50" s="26"/>
    </row>
    <row r="51" spans="1:18" x14ac:dyDescent="0.2">
      <c r="A51" s="26"/>
      <c r="B51" s="26"/>
      <c r="C51" s="26"/>
      <c r="D51" s="27"/>
      <c r="E51" s="26"/>
      <c r="F51" s="28"/>
      <c r="G51" s="28"/>
      <c r="H51" s="26"/>
      <c r="I51" s="27"/>
      <c r="J51" s="26"/>
      <c r="K51" s="28"/>
      <c r="L51" s="28"/>
      <c r="M51" s="26"/>
      <c r="N51" s="27"/>
      <c r="O51" s="26" t="s">
        <v>184</v>
      </c>
      <c r="P51" s="28">
        <f>SUM($P$16:$P$30)</f>
        <v>26</v>
      </c>
      <c r="Q51" s="64">
        <f>SUM($Q$16:$Q$30)</f>
        <v>2.1766550711111106</v>
      </c>
      <c r="R51" s="26"/>
    </row>
    <row r="52" spans="1:18" x14ac:dyDescent="0.2">
      <c r="A52" s="26"/>
      <c r="B52" s="26"/>
      <c r="C52" s="26"/>
      <c r="D52" s="27"/>
      <c r="E52" s="26"/>
      <c r="F52" s="28"/>
      <c r="G52" s="28"/>
      <c r="H52" s="26"/>
      <c r="I52" s="27"/>
      <c r="J52" s="26"/>
      <c r="K52" s="28"/>
      <c r="L52" s="28"/>
      <c r="M52" s="26"/>
      <c r="N52" s="27"/>
      <c r="O52" s="26"/>
      <c r="P52" s="28"/>
      <c r="Q52" s="28"/>
      <c r="R52" s="26"/>
    </row>
    <row r="53" spans="1:18" x14ac:dyDescent="0.2">
      <c r="A53" s="26"/>
      <c r="B53" s="26"/>
      <c r="C53" s="26"/>
      <c r="D53" s="27"/>
      <c r="E53" s="26"/>
      <c r="F53" s="28"/>
      <c r="G53" s="28"/>
      <c r="H53" s="26"/>
      <c r="I53" s="27"/>
      <c r="J53" s="26"/>
      <c r="K53" s="28"/>
      <c r="L53" s="28"/>
      <c r="M53" s="26"/>
      <c r="N53" s="27"/>
      <c r="O53" s="26" t="s">
        <v>181</v>
      </c>
      <c r="P53" s="28">
        <v>18</v>
      </c>
      <c r="Q53" s="28"/>
      <c r="R53" s="26"/>
    </row>
    <row r="54" spans="1:18" x14ac:dyDescent="0.2">
      <c r="A54" s="26"/>
      <c r="B54" s="26"/>
      <c r="C54" s="26"/>
      <c r="D54" s="27"/>
      <c r="E54" s="26"/>
      <c r="F54" s="28"/>
      <c r="G54" s="28"/>
      <c r="H54" s="26"/>
      <c r="I54" s="27"/>
      <c r="J54" s="26"/>
      <c r="K54" s="28"/>
      <c r="L54" s="28"/>
      <c r="M54" s="26"/>
      <c r="N54" s="27"/>
      <c r="O54" s="26"/>
      <c r="P54" s="28"/>
      <c r="Q54" s="28"/>
      <c r="R54" s="26"/>
    </row>
    <row r="55" spans="1:18" x14ac:dyDescent="0.2">
      <c r="A55" s="26"/>
      <c r="B55" s="26"/>
      <c r="C55" s="26"/>
      <c r="D55" s="27"/>
      <c r="E55" s="26"/>
      <c r="F55" s="28"/>
      <c r="G55" s="28"/>
      <c r="H55" s="26"/>
      <c r="I55" s="27"/>
      <c r="J55" s="26"/>
      <c r="K55" s="28"/>
      <c r="L55" s="28"/>
      <c r="M55" s="26"/>
      <c r="N55" s="27"/>
      <c r="O55" s="26" t="s">
        <v>185</v>
      </c>
      <c r="P55" s="28">
        <f>SUM($P$36:$P$39)</f>
        <v>32</v>
      </c>
      <c r="Q55" s="64">
        <f>SUM($Q$36:$Q$39)</f>
        <v>2.213108848888889</v>
      </c>
      <c r="R55" s="26"/>
    </row>
    <row r="56" spans="1:18" x14ac:dyDescent="0.2">
      <c r="A56" s="26"/>
      <c r="B56" s="26"/>
      <c r="C56" s="26"/>
      <c r="D56" s="27"/>
      <c r="E56" s="26"/>
      <c r="F56" s="28"/>
      <c r="G56" s="28"/>
      <c r="H56" s="26"/>
      <c r="I56" s="27"/>
      <c r="J56" s="26"/>
      <c r="K56" s="28"/>
      <c r="L56" s="28"/>
      <c r="M56" s="26"/>
      <c r="N56" s="27"/>
      <c r="O56" s="26"/>
      <c r="P56" s="28"/>
      <c r="Q56" s="28"/>
      <c r="R56" s="26"/>
    </row>
    <row r="57" spans="1:18" x14ac:dyDescent="0.2">
      <c r="A57" s="26"/>
      <c r="B57" s="26"/>
      <c r="C57" s="26"/>
      <c r="D57" s="27"/>
      <c r="E57" s="26"/>
      <c r="F57" s="28"/>
      <c r="G57" s="28"/>
      <c r="H57" s="26"/>
      <c r="I57" s="27"/>
      <c r="J57" s="26"/>
      <c r="K57" s="28"/>
      <c r="L57" s="28"/>
      <c r="M57" s="26"/>
      <c r="N57" s="27"/>
      <c r="O57" s="26"/>
      <c r="P57" s="28"/>
      <c r="Q57" s="28"/>
      <c r="R57" s="26"/>
    </row>
    <row r="58" spans="1:18" x14ac:dyDescent="0.2">
      <c r="A58" s="26"/>
      <c r="B58" s="26"/>
      <c r="C58" s="26"/>
      <c r="D58" s="27"/>
      <c r="E58" s="26"/>
      <c r="F58" s="28"/>
      <c r="G58" s="28"/>
      <c r="H58" s="26"/>
      <c r="I58" s="27"/>
      <c r="J58" s="26"/>
      <c r="K58" s="28"/>
      <c r="L58" s="28"/>
      <c r="M58" s="26"/>
      <c r="N58" s="27"/>
      <c r="O58" s="26"/>
      <c r="P58" s="28"/>
      <c r="Q58" s="28"/>
      <c r="R58" s="26"/>
    </row>
    <row r="59" spans="1:18" x14ac:dyDescent="0.2">
      <c r="A59" s="26"/>
      <c r="B59" s="26"/>
      <c r="C59" s="26"/>
      <c r="D59" s="27"/>
      <c r="E59" s="26"/>
      <c r="F59" s="28"/>
      <c r="G59" s="28"/>
      <c r="H59" s="26"/>
      <c r="I59" s="27"/>
      <c r="J59" s="26"/>
      <c r="K59" s="28"/>
      <c r="L59" s="28"/>
      <c r="M59" s="26"/>
      <c r="N59" s="27"/>
      <c r="O59" s="26"/>
      <c r="P59" s="28"/>
      <c r="Q59" s="28"/>
      <c r="R59" s="26"/>
    </row>
    <row r="60" spans="1:18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</row>
    <row r="61" spans="1:18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</row>
    <row r="62" spans="1:18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</row>
    <row r="63" spans="1:18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</row>
  </sheetData>
  <mergeCells count="10">
    <mergeCell ref="A2:A3"/>
    <mergeCell ref="D13:G13"/>
    <mergeCell ref="I13:L13"/>
    <mergeCell ref="N13:Q13"/>
    <mergeCell ref="D14:D15"/>
    <mergeCell ref="E14:E15"/>
    <mergeCell ref="I14:I15"/>
    <mergeCell ref="J14:J15"/>
    <mergeCell ref="N14:N15"/>
    <mergeCell ref="O14:O1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90D04-BCA7-49E6-BAF2-962D51BFB1D7}">
  <sheetPr codeName="Sheet7">
    <tabColor theme="7" tint="0.59999389629810485"/>
  </sheetPr>
  <dimension ref="A1:R63"/>
  <sheetViews>
    <sheetView workbookViewId="0"/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customWidth="1"/>
    <col min="8" max="8" width="1.6640625" customWidth="1"/>
    <col min="9" max="9" width="13.6640625" customWidth="1"/>
    <col min="10" max="10" width="54.6640625" customWidth="1"/>
    <col min="12" max="12" width="1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customWidth="1"/>
  </cols>
  <sheetData>
    <row r="1" spans="1:1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18" x14ac:dyDescent="0.2">
      <c r="A2" s="247" t="s">
        <v>153</v>
      </c>
      <c r="B2" s="99"/>
      <c r="C2" s="26"/>
      <c r="D2" s="26"/>
      <c r="E2" s="69" t="s">
        <v>157</v>
      </c>
      <c r="F2" s="70" t="s">
        <v>90</v>
      </c>
      <c r="G2" s="70" t="s">
        <v>90</v>
      </c>
      <c r="H2" s="26"/>
      <c r="I2" s="26"/>
      <c r="J2" s="69"/>
      <c r="K2" s="70"/>
      <c r="L2" s="26"/>
      <c r="M2" s="26"/>
      <c r="N2" s="26"/>
      <c r="O2" s="26"/>
      <c r="P2" s="26"/>
      <c r="Q2" s="26"/>
      <c r="R2" s="26"/>
    </row>
    <row r="3" spans="1:18" x14ac:dyDescent="0.2">
      <c r="A3" s="248"/>
      <c r="B3" s="110">
        <f>Main!F7</f>
        <v>1</v>
      </c>
      <c r="C3" s="26"/>
      <c r="D3" s="26"/>
      <c r="E3" s="66" t="s">
        <v>158</v>
      </c>
      <c r="F3" s="67">
        <f>F12/24</f>
        <v>3.25</v>
      </c>
      <c r="G3" s="67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2">
      <c r="A4" s="26"/>
      <c r="B4" s="106" t="s">
        <v>223</v>
      </c>
      <c r="C4" s="109" t="s">
        <v>222</v>
      </c>
      <c r="D4" s="60"/>
      <c r="E4" s="101" t="s">
        <v>160</v>
      </c>
      <c r="F4" s="64"/>
      <c r="G4" s="64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2">
      <c r="A5" s="103" t="s">
        <v>192</v>
      </c>
      <c r="B5" s="107">
        <v>0</v>
      </c>
      <c r="C5" s="111"/>
      <c r="D5" s="105" t="s">
        <v>38</v>
      </c>
      <c r="E5" s="32"/>
      <c r="F5" s="68"/>
      <c r="G5" s="68"/>
      <c r="H5" s="26"/>
      <c r="I5" s="26"/>
      <c r="J5" s="71"/>
      <c r="K5" s="72"/>
      <c r="L5" s="26"/>
      <c r="M5" s="26"/>
      <c r="N5" s="26"/>
      <c r="O5" s="26"/>
      <c r="P5" s="26"/>
      <c r="Q5" s="26"/>
      <c r="R5" s="26"/>
    </row>
    <row r="6" spans="1:18" x14ac:dyDescent="0.2">
      <c r="A6" s="31" t="s">
        <v>193</v>
      </c>
      <c r="B6" s="108">
        <f>F3+F7*(IF(B2&lt;&gt;"",B2,B3)-1)</f>
        <v>3.25</v>
      </c>
      <c r="C6" s="112"/>
      <c r="D6" s="33" t="s">
        <v>38</v>
      </c>
      <c r="E6" s="100" t="s">
        <v>120</v>
      </c>
      <c r="F6" s="70" t="s">
        <v>90</v>
      </c>
      <c r="G6" s="70" t="s">
        <v>90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2">
      <c r="A7" s="26"/>
      <c r="B7" s="26"/>
      <c r="C7" s="26"/>
      <c r="D7" s="26"/>
      <c r="E7" s="66" t="s">
        <v>159</v>
      </c>
      <c r="F7" s="64">
        <f>F12/24-F36/24</f>
        <v>2.75</v>
      </c>
      <c r="G7" s="97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2">
      <c r="A8" s="26"/>
      <c r="B8" s="26"/>
      <c r="C8" s="26"/>
      <c r="D8" s="26"/>
      <c r="E8" s="31"/>
      <c r="F8" s="68"/>
      <c r="G8" s="98"/>
      <c r="H8" s="26"/>
      <c r="I8" s="26"/>
      <c r="J8" s="71"/>
      <c r="K8" s="72"/>
      <c r="L8" s="26"/>
      <c r="M8" s="26"/>
      <c r="N8" s="26"/>
      <c r="O8" s="26"/>
      <c r="P8" s="26"/>
      <c r="Q8" s="26"/>
      <c r="R8" s="26"/>
    </row>
    <row r="9" spans="1:18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1:18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18" x14ac:dyDescent="0.2">
      <c r="A11" s="26"/>
      <c r="B11" s="26"/>
      <c r="C11" s="26"/>
      <c r="D11" s="42"/>
      <c r="E11" s="43" t="s">
        <v>156</v>
      </c>
      <c r="F11" s="76"/>
      <c r="G11" s="44"/>
      <c r="H11" s="136"/>
      <c r="I11" s="42"/>
      <c r="J11" s="43"/>
      <c r="K11" s="76"/>
      <c r="L11" s="44"/>
      <c r="M11" s="136"/>
      <c r="N11" s="42"/>
      <c r="O11" s="43"/>
      <c r="P11" s="44"/>
      <c r="Q11" s="44"/>
      <c r="R11" s="26"/>
    </row>
    <row r="12" spans="1:18" x14ac:dyDescent="0.2">
      <c r="A12" s="26"/>
      <c r="B12" s="26"/>
      <c r="C12" s="26"/>
      <c r="D12" s="35" t="s">
        <v>112</v>
      </c>
      <c r="E12" s="36"/>
      <c r="F12" s="77">
        <f>SUM(F16:F59)</f>
        <v>78</v>
      </c>
      <c r="G12" s="94">
        <f>SUM(G16:G59)</f>
        <v>0</v>
      </c>
      <c r="H12" s="136"/>
      <c r="I12" s="35" t="s">
        <v>112</v>
      </c>
      <c r="J12" s="36"/>
      <c r="K12" s="77">
        <f>SUM(K16:K59)</f>
        <v>0</v>
      </c>
      <c r="L12" s="94">
        <f>SUM(L16:L59)</f>
        <v>0</v>
      </c>
      <c r="M12" s="136"/>
      <c r="N12" s="35" t="s">
        <v>112</v>
      </c>
      <c r="O12" s="36"/>
      <c r="P12" s="37">
        <f>SUM(P16:P59)</f>
        <v>0</v>
      </c>
      <c r="Q12" s="94">
        <f>SUM(Q16:Q59)</f>
        <v>0</v>
      </c>
      <c r="R12" s="26"/>
    </row>
    <row r="13" spans="1:18" x14ac:dyDescent="0.2">
      <c r="A13" s="26"/>
      <c r="B13" s="26"/>
      <c r="C13" s="26"/>
      <c r="D13" s="253"/>
      <c r="E13" s="254"/>
      <c r="F13" s="254"/>
      <c r="G13" s="255"/>
      <c r="H13" s="136"/>
      <c r="I13" s="253"/>
      <c r="J13" s="254"/>
      <c r="K13" s="254"/>
      <c r="L13" s="255"/>
      <c r="M13" s="136"/>
      <c r="N13" s="253"/>
      <c r="O13" s="254"/>
      <c r="P13" s="254"/>
      <c r="Q13" s="255"/>
      <c r="R13" s="30"/>
    </row>
    <row r="14" spans="1:18" ht="15" customHeight="1" x14ac:dyDescent="0.2">
      <c r="A14" s="26"/>
      <c r="B14" s="26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61" t="s">
        <v>83</v>
      </c>
      <c r="J14" s="137" t="s">
        <v>16</v>
      </c>
      <c r="K14" s="138" t="s">
        <v>17</v>
      </c>
      <c r="L14" s="138" t="s">
        <v>215</v>
      </c>
      <c r="M14" s="136"/>
      <c r="N14" s="249" t="s">
        <v>83</v>
      </c>
      <c r="O14" s="38" t="s">
        <v>16</v>
      </c>
      <c r="P14" s="39" t="s">
        <v>17</v>
      </c>
      <c r="Q14" s="39" t="s">
        <v>215</v>
      </c>
      <c r="R14" s="26"/>
    </row>
    <row r="15" spans="1:18" x14ac:dyDescent="0.2">
      <c r="A15" s="26"/>
      <c r="B15" s="26"/>
      <c r="C15" s="26"/>
      <c r="D15" s="250"/>
      <c r="E15" s="252"/>
      <c r="F15" s="41" t="s">
        <v>18</v>
      </c>
      <c r="G15" s="41" t="s">
        <v>18</v>
      </c>
      <c r="H15" s="26"/>
      <c r="I15" s="250"/>
      <c r="J15" s="40"/>
      <c r="K15" s="41" t="s">
        <v>18</v>
      </c>
      <c r="L15" s="41" t="s">
        <v>18</v>
      </c>
      <c r="M15" s="26"/>
      <c r="N15" s="250"/>
      <c r="O15" s="40"/>
      <c r="P15" s="41" t="s">
        <v>18</v>
      </c>
      <c r="Q15" s="41" t="s">
        <v>18</v>
      </c>
      <c r="R15" s="26"/>
    </row>
    <row r="16" spans="1:18" x14ac:dyDescent="0.2">
      <c r="A16" s="26"/>
      <c r="B16" s="26"/>
      <c r="C16" s="26"/>
      <c r="D16" s="27">
        <v>1</v>
      </c>
      <c r="E16" s="26" t="s">
        <v>122</v>
      </c>
      <c r="F16" s="28">
        <v>6</v>
      </c>
      <c r="G16" s="28"/>
      <c r="H16" s="26"/>
      <c r="I16" s="27"/>
      <c r="J16" s="26"/>
      <c r="K16" s="28"/>
      <c r="L16" s="28"/>
      <c r="M16" s="26"/>
      <c r="N16" s="27"/>
      <c r="O16" s="26"/>
      <c r="P16" s="28"/>
      <c r="Q16" s="28"/>
      <c r="R16" s="26"/>
    </row>
    <row r="17" spans="1:18" x14ac:dyDescent="0.2">
      <c r="A17" s="26"/>
      <c r="B17" s="26"/>
      <c r="C17" s="26"/>
      <c r="D17" s="27">
        <v>2</v>
      </c>
      <c r="E17" s="26" t="s">
        <v>123</v>
      </c>
      <c r="F17" s="28">
        <v>4</v>
      </c>
      <c r="G17" s="28"/>
      <c r="H17" s="26"/>
      <c r="I17" s="27"/>
      <c r="J17" s="26"/>
      <c r="K17" s="28"/>
      <c r="L17" s="28"/>
      <c r="M17" s="26"/>
      <c r="N17" s="27"/>
      <c r="O17" s="26"/>
      <c r="P17" s="28"/>
      <c r="Q17" s="28"/>
      <c r="R17" s="26"/>
    </row>
    <row r="18" spans="1:18" x14ac:dyDescent="0.2">
      <c r="A18" s="26"/>
      <c r="B18" s="26"/>
      <c r="C18" s="26"/>
      <c r="D18" s="27">
        <v>3</v>
      </c>
      <c r="E18" s="26" t="s">
        <v>124</v>
      </c>
      <c r="F18" s="28">
        <v>4</v>
      </c>
      <c r="G18" s="28"/>
      <c r="H18" s="26"/>
      <c r="I18" s="27"/>
      <c r="J18" s="26"/>
      <c r="K18" s="28"/>
      <c r="L18" s="28"/>
      <c r="M18" s="26"/>
      <c r="N18" s="27"/>
      <c r="O18" s="26"/>
      <c r="P18" s="28"/>
      <c r="Q18" s="28"/>
      <c r="R18" s="26"/>
    </row>
    <row r="19" spans="1:18" x14ac:dyDescent="0.2">
      <c r="A19" s="26"/>
      <c r="B19" s="26"/>
      <c r="C19" s="26"/>
      <c r="D19" s="27">
        <v>4</v>
      </c>
      <c r="E19" s="26" t="s">
        <v>125</v>
      </c>
      <c r="F19" s="28">
        <v>4</v>
      </c>
      <c r="G19" s="28"/>
      <c r="H19" s="26"/>
      <c r="I19" s="27"/>
      <c r="J19" s="26"/>
      <c r="K19" s="28"/>
      <c r="L19" s="28"/>
      <c r="M19" s="26"/>
      <c r="N19" s="27"/>
      <c r="O19" s="26"/>
      <c r="P19" s="28"/>
      <c r="Q19" s="28"/>
      <c r="R19" s="26"/>
    </row>
    <row r="20" spans="1:18" x14ac:dyDescent="0.2">
      <c r="A20" s="26"/>
      <c r="B20" s="26"/>
      <c r="C20" s="26"/>
      <c r="D20" s="27"/>
      <c r="E20" s="26"/>
      <c r="F20" s="28"/>
      <c r="G20" s="28"/>
      <c r="H20" s="26"/>
      <c r="I20" s="27"/>
      <c r="J20" s="26"/>
      <c r="K20" s="28"/>
      <c r="L20" s="28"/>
      <c r="M20" s="26"/>
      <c r="N20" s="27"/>
      <c r="O20" s="26"/>
      <c r="P20" s="28"/>
      <c r="Q20" s="28"/>
      <c r="R20" s="26"/>
    </row>
    <row r="21" spans="1:18" x14ac:dyDescent="0.2">
      <c r="A21" s="26"/>
      <c r="B21" s="26"/>
      <c r="C21" s="26"/>
      <c r="D21" s="27">
        <v>5</v>
      </c>
      <c r="E21" s="26" t="s">
        <v>126</v>
      </c>
      <c r="F21" s="28">
        <v>4</v>
      </c>
      <c r="G21" s="28"/>
      <c r="H21" s="26"/>
      <c r="I21" s="27"/>
      <c r="J21" s="26"/>
      <c r="K21" s="28"/>
      <c r="L21" s="28"/>
      <c r="M21" s="26"/>
      <c r="N21" s="27"/>
      <c r="O21" s="26"/>
      <c r="P21" s="28"/>
      <c r="Q21" s="28"/>
      <c r="R21" s="26"/>
    </row>
    <row r="22" spans="1:18" x14ac:dyDescent="0.2">
      <c r="A22" s="26"/>
      <c r="B22" s="26"/>
      <c r="C22" s="26"/>
      <c r="D22" s="27">
        <v>6</v>
      </c>
      <c r="E22" s="26" t="s">
        <v>127</v>
      </c>
      <c r="F22" s="28">
        <v>4</v>
      </c>
      <c r="G22" s="28"/>
      <c r="H22" s="26"/>
      <c r="I22" s="27"/>
      <c r="J22" s="26"/>
      <c r="K22" s="28"/>
      <c r="L22" s="28"/>
      <c r="M22" s="26"/>
      <c r="N22" s="27"/>
      <c r="O22" s="26"/>
      <c r="P22" s="28"/>
      <c r="Q22" s="28"/>
      <c r="R22" s="26"/>
    </row>
    <row r="23" spans="1:18" x14ac:dyDescent="0.2">
      <c r="A23" s="26"/>
      <c r="B23" s="26"/>
      <c r="C23" s="26"/>
      <c r="D23" s="27">
        <v>7</v>
      </c>
      <c r="E23" s="26" t="s">
        <v>128</v>
      </c>
      <c r="F23" s="28">
        <v>4</v>
      </c>
      <c r="G23" s="28"/>
      <c r="H23" s="26"/>
      <c r="I23" s="27"/>
      <c r="J23" s="26"/>
      <c r="K23" s="28"/>
      <c r="L23" s="28"/>
      <c r="M23" s="26"/>
      <c r="N23" s="27"/>
      <c r="O23" s="26"/>
      <c r="P23" s="28"/>
      <c r="Q23" s="28"/>
      <c r="R23" s="26"/>
    </row>
    <row r="24" spans="1:18" x14ac:dyDescent="0.2">
      <c r="A24" s="26"/>
      <c r="B24" s="26"/>
      <c r="C24" s="26"/>
      <c r="D24" s="27">
        <v>8</v>
      </c>
      <c r="E24" s="26" t="s">
        <v>129</v>
      </c>
      <c r="F24" s="28">
        <v>4</v>
      </c>
      <c r="G24" s="28"/>
      <c r="H24" s="26"/>
      <c r="I24" s="27"/>
      <c r="J24" s="26"/>
      <c r="K24" s="28"/>
      <c r="L24" s="28"/>
      <c r="M24" s="26"/>
      <c r="N24" s="27"/>
      <c r="O24" s="26"/>
      <c r="P24" s="28"/>
      <c r="Q24" s="28"/>
      <c r="R24" s="26"/>
    </row>
    <row r="25" spans="1:18" x14ac:dyDescent="0.2">
      <c r="A25" s="26"/>
      <c r="B25" s="26"/>
      <c r="C25" s="26"/>
      <c r="D25" s="27"/>
      <c r="E25" s="26"/>
      <c r="F25" s="28"/>
      <c r="G25" s="28"/>
      <c r="H25" s="26"/>
      <c r="I25" s="27"/>
      <c r="J25" s="26"/>
      <c r="K25" s="28"/>
      <c r="L25" s="28"/>
      <c r="M25" s="26"/>
      <c r="N25" s="27"/>
      <c r="O25" s="26"/>
      <c r="P25" s="28"/>
      <c r="Q25" s="28"/>
      <c r="R25" s="26"/>
    </row>
    <row r="26" spans="1:18" x14ac:dyDescent="0.2">
      <c r="A26" s="26"/>
      <c r="B26" s="26"/>
      <c r="C26" s="26"/>
      <c r="D26" s="27">
        <v>9</v>
      </c>
      <c r="E26" s="26" t="s">
        <v>130</v>
      </c>
      <c r="F26" s="28">
        <v>4</v>
      </c>
      <c r="G26" s="28"/>
      <c r="H26" s="26"/>
      <c r="I26" s="27"/>
      <c r="J26" s="26"/>
      <c r="K26" s="28"/>
      <c r="L26" s="28"/>
      <c r="M26" s="26"/>
      <c r="N26" s="27"/>
      <c r="O26" s="26"/>
      <c r="P26" s="28"/>
      <c r="Q26" s="28"/>
      <c r="R26" s="26"/>
    </row>
    <row r="27" spans="1:18" x14ac:dyDescent="0.2">
      <c r="A27" s="26"/>
      <c r="B27" s="26"/>
      <c r="C27" s="26"/>
      <c r="D27" s="27">
        <v>10</v>
      </c>
      <c r="E27" s="26" t="s">
        <v>131</v>
      </c>
      <c r="F27" s="28">
        <v>4</v>
      </c>
      <c r="G27" s="28"/>
      <c r="H27" s="26"/>
      <c r="I27" s="27"/>
      <c r="J27" s="26"/>
      <c r="K27" s="28"/>
      <c r="L27" s="28"/>
      <c r="M27" s="26"/>
      <c r="N27" s="27"/>
      <c r="O27" s="26"/>
      <c r="P27" s="28"/>
      <c r="Q27" s="28"/>
      <c r="R27" s="26"/>
    </row>
    <row r="28" spans="1:18" x14ac:dyDescent="0.2">
      <c r="A28" s="26"/>
      <c r="B28" s="26"/>
      <c r="C28" s="26"/>
      <c r="D28" s="27">
        <v>11</v>
      </c>
      <c r="E28" s="26" t="s">
        <v>132</v>
      </c>
      <c r="F28" s="28">
        <v>4</v>
      </c>
      <c r="G28" s="28"/>
      <c r="H28" s="26"/>
      <c r="I28" s="27"/>
      <c r="J28" s="26"/>
      <c r="K28" s="28"/>
      <c r="L28" s="28"/>
      <c r="M28" s="26"/>
      <c r="N28" s="27"/>
      <c r="O28" s="26"/>
      <c r="P28" s="28"/>
      <c r="Q28" s="28"/>
      <c r="R28" s="26"/>
    </row>
    <row r="29" spans="1:18" x14ac:dyDescent="0.2">
      <c r="A29" s="26"/>
      <c r="B29" s="26"/>
      <c r="C29" s="26"/>
      <c r="D29" s="27">
        <v>12</v>
      </c>
      <c r="E29" s="26" t="s">
        <v>133</v>
      </c>
      <c r="F29" s="28">
        <v>4</v>
      </c>
      <c r="G29" s="28"/>
      <c r="H29" s="26"/>
      <c r="I29" s="27"/>
      <c r="J29" s="26"/>
      <c r="K29" s="28"/>
      <c r="L29" s="28"/>
      <c r="M29" s="26"/>
      <c r="N29" s="27"/>
      <c r="O29" s="26"/>
      <c r="P29" s="28"/>
      <c r="Q29" s="28"/>
      <c r="R29" s="26"/>
    </row>
    <row r="30" spans="1:18" x14ac:dyDescent="0.2">
      <c r="A30" s="26"/>
      <c r="B30" s="26"/>
      <c r="C30" s="26"/>
      <c r="D30" s="27"/>
      <c r="E30" s="26"/>
      <c r="F30" s="28"/>
      <c r="G30" s="28"/>
      <c r="H30" s="26"/>
      <c r="I30" s="27"/>
      <c r="J30" s="26"/>
      <c r="K30" s="28"/>
      <c r="L30" s="28"/>
      <c r="M30" s="26"/>
      <c r="N30" s="27"/>
      <c r="O30" s="26"/>
      <c r="P30" s="28"/>
      <c r="Q30" s="28"/>
      <c r="R30" s="26"/>
    </row>
    <row r="31" spans="1:18" x14ac:dyDescent="0.2">
      <c r="A31" s="26"/>
      <c r="B31" s="26"/>
      <c r="C31" s="26"/>
      <c r="D31" s="27">
        <v>13</v>
      </c>
      <c r="E31" s="26" t="s">
        <v>134</v>
      </c>
      <c r="F31" s="28">
        <v>4</v>
      </c>
      <c r="G31" s="28"/>
      <c r="H31" s="26"/>
      <c r="I31" s="27"/>
      <c r="J31" s="26"/>
      <c r="K31" s="28"/>
      <c r="L31" s="28"/>
      <c r="M31" s="26"/>
      <c r="N31" s="27"/>
      <c r="O31" s="26"/>
      <c r="P31" s="28"/>
      <c r="Q31" s="28"/>
      <c r="R31" s="26"/>
    </row>
    <row r="32" spans="1:18" x14ac:dyDescent="0.2">
      <c r="A32" s="26"/>
      <c r="B32" s="26"/>
      <c r="C32" s="26"/>
      <c r="D32" s="27">
        <v>14</v>
      </c>
      <c r="E32" s="26" t="s">
        <v>135</v>
      </c>
      <c r="F32" s="28">
        <v>4</v>
      </c>
      <c r="G32" s="28"/>
      <c r="H32" s="26"/>
      <c r="I32" s="27"/>
      <c r="J32" s="26"/>
      <c r="K32" s="28"/>
      <c r="L32" s="28"/>
      <c r="M32" s="26"/>
      <c r="N32" s="27"/>
      <c r="O32" s="26"/>
      <c r="P32" s="28"/>
      <c r="Q32" s="28"/>
      <c r="R32" s="26"/>
    </row>
    <row r="33" spans="1:18" x14ac:dyDescent="0.2">
      <c r="A33" s="26"/>
      <c r="B33" s="26"/>
      <c r="C33" s="26"/>
      <c r="D33" s="27">
        <v>15</v>
      </c>
      <c r="E33" s="26" t="s">
        <v>136</v>
      </c>
      <c r="F33" s="28">
        <v>4</v>
      </c>
      <c r="G33" s="28"/>
      <c r="H33" s="26"/>
      <c r="I33" s="27"/>
      <c r="J33" s="26"/>
      <c r="K33" s="28"/>
      <c r="L33" s="28"/>
      <c r="M33" s="26"/>
      <c r="N33" s="27"/>
      <c r="O33" s="26"/>
      <c r="P33" s="28"/>
      <c r="Q33" s="28"/>
      <c r="R33" s="26"/>
    </row>
    <row r="34" spans="1:18" x14ac:dyDescent="0.2">
      <c r="A34" s="26"/>
      <c r="B34" s="26"/>
      <c r="C34" s="26"/>
      <c r="D34" s="27">
        <v>16</v>
      </c>
      <c r="E34" s="26" t="s">
        <v>137</v>
      </c>
      <c r="F34" s="28">
        <v>4</v>
      </c>
      <c r="G34" s="28"/>
      <c r="H34" s="26"/>
      <c r="I34" s="27"/>
      <c r="J34" s="26"/>
      <c r="K34" s="28"/>
      <c r="L34" s="28"/>
      <c r="M34" s="26"/>
      <c r="N34" s="27"/>
      <c r="O34" s="26"/>
      <c r="P34" s="28"/>
      <c r="Q34" s="28"/>
      <c r="R34" s="26"/>
    </row>
    <row r="35" spans="1:18" x14ac:dyDescent="0.2">
      <c r="A35" s="26"/>
      <c r="B35" s="26"/>
      <c r="C35" s="26"/>
      <c r="D35" s="27"/>
      <c r="E35" s="26"/>
      <c r="F35" s="28"/>
      <c r="G35" s="28"/>
      <c r="H35" s="26"/>
      <c r="I35" s="27"/>
      <c r="J35" s="26"/>
      <c r="K35" s="28"/>
      <c r="L35" s="28"/>
      <c r="M35" s="26"/>
      <c r="N35" s="27"/>
      <c r="O35" s="26"/>
      <c r="P35" s="28"/>
      <c r="Q35" s="28"/>
      <c r="R35" s="26"/>
    </row>
    <row r="36" spans="1:18" x14ac:dyDescent="0.2">
      <c r="A36" s="26"/>
      <c r="B36" s="26"/>
      <c r="C36" s="26"/>
      <c r="D36" s="27">
        <v>17</v>
      </c>
      <c r="E36" s="26" t="s">
        <v>138</v>
      </c>
      <c r="F36" s="28">
        <v>12</v>
      </c>
      <c r="G36" s="28"/>
      <c r="H36" s="26"/>
      <c r="I36" s="27"/>
      <c r="J36" s="26"/>
      <c r="K36" s="28"/>
      <c r="L36" s="28"/>
      <c r="M36" s="26"/>
      <c r="N36" s="27"/>
      <c r="O36" s="26"/>
      <c r="P36" s="28"/>
      <c r="Q36" s="28"/>
      <c r="R36" s="26"/>
    </row>
    <row r="37" spans="1:18" x14ac:dyDescent="0.2">
      <c r="A37" s="26"/>
      <c r="B37" s="26"/>
      <c r="C37" s="26"/>
      <c r="D37" s="27"/>
      <c r="E37" s="26"/>
      <c r="F37" s="28"/>
      <c r="G37" s="28"/>
      <c r="H37" s="26"/>
      <c r="I37" s="27"/>
      <c r="J37" s="26"/>
      <c r="K37" s="28"/>
      <c r="L37" s="28"/>
      <c r="M37" s="26"/>
      <c r="N37" s="27"/>
      <c r="O37" s="26"/>
      <c r="P37" s="28"/>
      <c r="Q37" s="28"/>
      <c r="R37" s="26"/>
    </row>
    <row r="38" spans="1:18" x14ac:dyDescent="0.2">
      <c r="A38" s="26"/>
      <c r="B38" s="26"/>
      <c r="C38" s="26"/>
      <c r="D38" s="27"/>
      <c r="E38" s="26"/>
      <c r="F38" s="28"/>
      <c r="G38" s="28"/>
      <c r="H38" s="26"/>
      <c r="I38" s="27"/>
      <c r="J38" s="26"/>
      <c r="K38" s="28"/>
      <c r="L38" s="28"/>
      <c r="M38" s="26"/>
      <c r="N38" s="27"/>
      <c r="O38" s="26"/>
      <c r="P38" s="28"/>
      <c r="Q38" s="28"/>
      <c r="R38" s="26"/>
    </row>
    <row r="39" spans="1:18" x14ac:dyDescent="0.2">
      <c r="A39" s="26"/>
      <c r="B39" s="26"/>
      <c r="C39" s="26"/>
      <c r="D39" s="27"/>
      <c r="E39" s="26"/>
      <c r="F39" s="28"/>
      <c r="G39" s="28"/>
      <c r="H39" s="26"/>
      <c r="I39" s="27"/>
      <c r="J39" s="26"/>
      <c r="K39" s="28"/>
      <c r="L39" s="28"/>
      <c r="M39" s="26"/>
      <c r="N39" s="27"/>
      <c r="O39" s="26"/>
      <c r="P39" s="28"/>
      <c r="Q39" s="28"/>
      <c r="R39" s="26"/>
    </row>
    <row r="40" spans="1:18" x14ac:dyDescent="0.2">
      <c r="A40" s="26"/>
      <c r="B40" s="26"/>
      <c r="C40" s="26"/>
      <c r="D40" s="27"/>
      <c r="E40" s="26"/>
      <c r="F40" s="28"/>
      <c r="G40" s="28"/>
      <c r="H40" s="26"/>
      <c r="I40" s="27"/>
      <c r="J40" s="26"/>
      <c r="K40" s="28"/>
      <c r="L40" s="28"/>
      <c r="M40" s="26"/>
      <c r="N40" s="27"/>
      <c r="O40" s="26"/>
      <c r="P40" s="28"/>
      <c r="Q40" s="28"/>
      <c r="R40" s="26"/>
    </row>
    <row r="41" spans="1:18" x14ac:dyDescent="0.2">
      <c r="A41" s="26"/>
      <c r="B41" s="26"/>
      <c r="C41" s="26"/>
      <c r="D41" s="27"/>
      <c r="E41" s="26"/>
      <c r="F41" s="28"/>
      <c r="G41" s="28"/>
      <c r="H41" s="26"/>
      <c r="I41" s="27"/>
      <c r="J41" s="26"/>
      <c r="K41" s="28"/>
      <c r="L41" s="28"/>
      <c r="M41" s="26"/>
      <c r="N41" s="27"/>
      <c r="O41" s="26"/>
      <c r="P41" s="28"/>
      <c r="Q41" s="28"/>
      <c r="R41" s="26"/>
    </row>
    <row r="42" spans="1:18" x14ac:dyDescent="0.2">
      <c r="A42" s="26"/>
      <c r="B42" s="26"/>
      <c r="C42" s="26"/>
      <c r="D42" s="27"/>
      <c r="E42" s="26"/>
      <c r="F42" s="28"/>
      <c r="G42" s="28"/>
      <c r="H42" s="26"/>
      <c r="I42" s="27"/>
      <c r="J42" s="26"/>
      <c r="K42" s="28"/>
      <c r="L42" s="28"/>
      <c r="M42" s="26"/>
      <c r="N42" s="27"/>
      <c r="O42" s="26"/>
      <c r="P42" s="28"/>
      <c r="Q42" s="28"/>
      <c r="R42" s="26"/>
    </row>
    <row r="43" spans="1:18" x14ac:dyDescent="0.2">
      <c r="A43" s="26"/>
      <c r="B43" s="26"/>
      <c r="C43" s="26"/>
      <c r="D43" s="27"/>
      <c r="E43" s="26"/>
      <c r="F43" s="28"/>
      <c r="G43" s="28"/>
      <c r="H43" s="26"/>
      <c r="I43" s="27"/>
      <c r="J43" s="26"/>
      <c r="K43" s="28"/>
      <c r="L43" s="28"/>
      <c r="M43" s="26"/>
      <c r="N43" s="27"/>
      <c r="O43" s="26"/>
      <c r="P43" s="28"/>
      <c r="Q43" s="28"/>
      <c r="R43" s="26"/>
    </row>
    <row r="44" spans="1:18" x14ac:dyDescent="0.2">
      <c r="A44" s="26"/>
      <c r="B44" s="26"/>
      <c r="C44" s="26"/>
      <c r="D44" s="27"/>
      <c r="E44" s="26"/>
      <c r="F44" s="28"/>
      <c r="G44" s="28"/>
      <c r="H44" s="26"/>
      <c r="I44" s="27"/>
      <c r="J44" s="26"/>
      <c r="K44" s="28"/>
      <c r="L44" s="28"/>
      <c r="M44" s="26"/>
      <c r="N44" s="27"/>
      <c r="O44" s="26"/>
      <c r="P44" s="28"/>
      <c r="Q44" s="28"/>
      <c r="R44" s="26"/>
    </row>
    <row r="45" spans="1:18" x14ac:dyDescent="0.2">
      <c r="A45" s="26"/>
      <c r="B45" s="26"/>
      <c r="C45" s="26"/>
      <c r="D45" s="27"/>
      <c r="E45" s="26"/>
      <c r="F45" s="28"/>
      <c r="G45" s="28"/>
      <c r="H45" s="26"/>
      <c r="I45" s="27"/>
      <c r="J45" s="26"/>
      <c r="K45" s="28"/>
      <c r="L45" s="28"/>
      <c r="M45" s="26"/>
      <c r="N45" s="27"/>
      <c r="O45" s="26"/>
      <c r="P45" s="28"/>
      <c r="Q45" s="28"/>
      <c r="R45" s="26"/>
    </row>
    <row r="46" spans="1:18" x14ac:dyDescent="0.2">
      <c r="A46" s="26"/>
      <c r="B46" s="26"/>
      <c r="C46" s="26"/>
      <c r="D46" s="27"/>
      <c r="E46" s="26"/>
      <c r="F46" s="28"/>
      <c r="G46" s="28"/>
      <c r="H46" s="26"/>
      <c r="I46" s="27"/>
      <c r="J46" s="26"/>
      <c r="K46" s="28"/>
      <c r="L46" s="28"/>
      <c r="M46" s="26"/>
      <c r="N46" s="27"/>
      <c r="O46" s="26"/>
      <c r="P46" s="28"/>
      <c r="Q46" s="28"/>
      <c r="R46" s="26"/>
    </row>
    <row r="47" spans="1:18" x14ac:dyDescent="0.2">
      <c r="A47" s="26"/>
      <c r="B47" s="26"/>
      <c r="C47" s="26"/>
      <c r="D47" s="27"/>
      <c r="E47" s="26"/>
      <c r="F47" s="28"/>
      <c r="G47" s="28"/>
      <c r="H47" s="26"/>
      <c r="I47" s="27"/>
      <c r="J47" s="26"/>
      <c r="K47" s="28"/>
      <c r="L47" s="28"/>
      <c r="M47" s="26"/>
      <c r="N47" s="27"/>
      <c r="O47" s="26"/>
      <c r="P47" s="28"/>
      <c r="Q47" s="28"/>
      <c r="R47" s="26"/>
    </row>
    <row r="48" spans="1:18" x14ac:dyDescent="0.2">
      <c r="A48" s="26"/>
      <c r="B48" s="26"/>
      <c r="C48" s="26"/>
      <c r="D48" s="27"/>
      <c r="E48" s="26"/>
      <c r="F48" s="28"/>
      <c r="G48" s="28"/>
      <c r="H48" s="26"/>
      <c r="I48" s="27"/>
      <c r="J48" s="26"/>
      <c r="K48" s="28"/>
      <c r="L48" s="28"/>
      <c r="M48" s="26"/>
      <c r="N48" s="27"/>
      <c r="O48" s="26"/>
      <c r="P48" s="28"/>
      <c r="Q48" s="28"/>
      <c r="R48" s="26"/>
    </row>
    <row r="49" spans="1:18" x14ac:dyDescent="0.2">
      <c r="A49" s="26"/>
      <c r="B49" s="26"/>
      <c r="C49" s="26"/>
      <c r="D49" s="27"/>
      <c r="E49" s="26"/>
      <c r="F49" s="28"/>
      <c r="G49" s="28"/>
      <c r="H49" s="26"/>
      <c r="I49" s="27"/>
      <c r="J49" s="26"/>
      <c r="K49" s="28"/>
      <c r="L49" s="28"/>
      <c r="M49" s="26"/>
      <c r="N49" s="27"/>
      <c r="O49" s="26"/>
      <c r="P49" s="28"/>
      <c r="Q49" s="28"/>
      <c r="R49" s="26"/>
    </row>
    <row r="50" spans="1:18" x14ac:dyDescent="0.2">
      <c r="A50" s="26"/>
      <c r="B50" s="26"/>
      <c r="C50" s="26"/>
      <c r="D50" s="27"/>
      <c r="E50" s="26"/>
      <c r="F50" s="28"/>
      <c r="G50" s="28"/>
      <c r="H50" s="26"/>
      <c r="I50" s="27"/>
      <c r="J50" s="26"/>
      <c r="K50" s="28"/>
      <c r="L50" s="28"/>
      <c r="M50" s="26"/>
      <c r="N50" s="27"/>
      <c r="O50" s="26"/>
      <c r="P50" s="28"/>
      <c r="Q50" s="28"/>
      <c r="R50" s="26"/>
    </row>
    <row r="51" spans="1:18" x14ac:dyDescent="0.2">
      <c r="A51" s="26"/>
      <c r="B51" s="26"/>
      <c r="C51" s="26"/>
      <c r="D51" s="27"/>
      <c r="E51" s="26"/>
      <c r="F51" s="28"/>
      <c r="G51" s="28"/>
      <c r="H51" s="26"/>
      <c r="I51" s="27"/>
      <c r="J51" s="26"/>
      <c r="K51" s="28"/>
      <c r="L51" s="28"/>
      <c r="M51" s="26"/>
      <c r="N51" s="27"/>
      <c r="O51" s="26"/>
      <c r="P51" s="28"/>
      <c r="Q51" s="28"/>
      <c r="R51" s="26"/>
    </row>
    <row r="52" spans="1:18" x14ac:dyDescent="0.2">
      <c r="A52" s="26"/>
      <c r="B52" s="26"/>
      <c r="C52" s="26"/>
      <c r="D52" s="27"/>
      <c r="E52" s="26"/>
      <c r="F52" s="28"/>
      <c r="G52" s="28"/>
      <c r="H52" s="26"/>
      <c r="I52" s="27"/>
      <c r="J52" s="26"/>
      <c r="K52" s="28"/>
      <c r="L52" s="28"/>
      <c r="M52" s="26"/>
      <c r="N52" s="27"/>
      <c r="O52" s="26"/>
      <c r="P52" s="28"/>
      <c r="Q52" s="28"/>
      <c r="R52" s="26"/>
    </row>
    <row r="53" spans="1:18" x14ac:dyDescent="0.2">
      <c r="A53" s="26"/>
      <c r="B53" s="26"/>
      <c r="C53" s="26"/>
      <c r="D53" s="27"/>
      <c r="E53" s="26"/>
      <c r="F53" s="28"/>
      <c r="G53" s="28"/>
      <c r="H53" s="26"/>
      <c r="I53" s="27"/>
      <c r="J53" s="26"/>
      <c r="K53" s="28"/>
      <c r="L53" s="28"/>
      <c r="M53" s="26"/>
      <c r="N53" s="27"/>
      <c r="O53" s="26"/>
      <c r="P53" s="28"/>
      <c r="Q53" s="28"/>
      <c r="R53" s="26"/>
    </row>
    <row r="54" spans="1:18" x14ac:dyDescent="0.2">
      <c r="A54" s="26"/>
      <c r="B54" s="26"/>
      <c r="C54" s="26"/>
      <c r="D54" s="27"/>
      <c r="E54" s="26"/>
      <c r="F54" s="28"/>
      <c r="G54" s="28"/>
      <c r="H54" s="26"/>
      <c r="I54" s="27"/>
      <c r="J54" s="26"/>
      <c r="K54" s="28"/>
      <c r="L54" s="28"/>
      <c r="M54" s="26"/>
      <c r="N54" s="27"/>
      <c r="O54" s="26"/>
      <c r="P54" s="28"/>
      <c r="Q54" s="28"/>
      <c r="R54" s="26"/>
    </row>
    <row r="55" spans="1:18" x14ac:dyDescent="0.2">
      <c r="A55" s="26"/>
      <c r="B55" s="26"/>
      <c r="C55" s="26"/>
      <c r="D55" s="27"/>
      <c r="E55" s="26"/>
      <c r="F55" s="28"/>
      <c r="G55" s="28"/>
      <c r="H55" s="26"/>
      <c r="I55" s="27"/>
      <c r="J55" s="26"/>
      <c r="K55" s="28"/>
      <c r="L55" s="28"/>
      <c r="M55" s="26"/>
      <c r="N55" s="27"/>
      <c r="O55" s="26"/>
      <c r="P55" s="28"/>
      <c r="Q55" s="28"/>
      <c r="R55" s="26"/>
    </row>
    <row r="56" spans="1:18" x14ac:dyDescent="0.2">
      <c r="A56" s="26"/>
      <c r="B56" s="26"/>
      <c r="C56" s="26"/>
      <c r="D56" s="27"/>
      <c r="E56" s="26"/>
      <c r="F56" s="28"/>
      <c r="G56" s="28"/>
      <c r="H56" s="26"/>
      <c r="I56" s="27"/>
      <c r="J56" s="26"/>
      <c r="K56" s="28"/>
      <c r="L56" s="28"/>
      <c r="M56" s="26"/>
      <c r="N56" s="27"/>
      <c r="O56" s="26"/>
      <c r="P56" s="28"/>
      <c r="Q56" s="28"/>
      <c r="R56" s="26"/>
    </row>
    <row r="57" spans="1:18" x14ac:dyDescent="0.2">
      <c r="A57" s="26"/>
      <c r="B57" s="26"/>
      <c r="C57" s="26"/>
      <c r="D57" s="27"/>
      <c r="E57" s="26"/>
      <c r="F57" s="28"/>
      <c r="G57" s="28"/>
      <c r="H57" s="26"/>
      <c r="I57" s="27"/>
      <c r="J57" s="26"/>
      <c r="K57" s="28"/>
      <c r="L57" s="28"/>
      <c r="M57" s="26"/>
      <c r="N57" s="27"/>
      <c r="O57" s="26"/>
      <c r="P57" s="28"/>
      <c r="Q57" s="28"/>
      <c r="R57" s="26"/>
    </row>
    <row r="58" spans="1:18" x14ac:dyDescent="0.2">
      <c r="A58" s="26"/>
      <c r="B58" s="26"/>
      <c r="C58" s="26"/>
      <c r="D58" s="27"/>
      <c r="E58" s="26"/>
      <c r="F58" s="28"/>
      <c r="G58" s="28"/>
      <c r="H58" s="26"/>
      <c r="I58" s="27"/>
      <c r="J58" s="26"/>
      <c r="K58" s="28"/>
      <c r="L58" s="28"/>
      <c r="M58" s="26"/>
      <c r="N58" s="27"/>
      <c r="O58" s="26"/>
      <c r="P58" s="28"/>
      <c r="Q58" s="28"/>
      <c r="R58" s="26"/>
    </row>
    <row r="59" spans="1:18" x14ac:dyDescent="0.2">
      <c r="A59" s="26"/>
      <c r="B59" s="26"/>
      <c r="C59" s="26"/>
      <c r="D59" s="27"/>
      <c r="E59" s="26"/>
      <c r="F59" s="28"/>
      <c r="G59" s="28"/>
      <c r="H59" s="26"/>
      <c r="I59" s="27"/>
      <c r="J59" s="26"/>
      <c r="K59" s="28"/>
      <c r="L59" s="28"/>
      <c r="M59" s="26"/>
      <c r="N59" s="27"/>
      <c r="O59" s="26"/>
      <c r="P59" s="28"/>
      <c r="Q59" s="28"/>
      <c r="R59" s="26"/>
    </row>
    <row r="60" spans="1:18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</row>
    <row r="61" spans="1:18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</row>
    <row r="62" spans="1:18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</row>
    <row r="63" spans="1:18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</row>
  </sheetData>
  <mergeCells count="8">
    <mergeCell ref="A2:A3"/>
    <mergeCell ref="D13:G13"/>
    <mergeCell ref="I13:L13"/>
    <mergeCell ref="N13:Q13"/>
    <mergeCell ref="D14:D15"/>
    <mergeCell ref="E14:E15"/>
    <mergeCell ref="I14:I15"/>
    <mergeCell ref="N14:N1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7A5CC-7755-43B2-9EF1-080396500A02}">
  <sheetPr codeName="Sheet15">
    <tabColor theme="7" tint="0.59999389629810485"/>
  </sheetPr>
  <dimension ref="A1:R63"/>
  <sheetViews>
    <sheetView workbookViewId="0"/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customWidth="1"/>
    <col min="8" max="8" width="1.6640625" customWidth="1"/>
    <col min="9" max="9" width="13.6640625" customWidth="1"/>
    <col min="10" max="10" width="54.6640625" customWidth="1"/>
    <col min="12" max="12" width="1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customWidth="1"/>
  </cols>
  <sheetData>
    <row r="1" spans="1:1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18" x14ac:dyDescent="0.2">
      <c r="A2" s="247" t="s">
        <v>153</v>
      </c>
      <c r="B2" s="99"/>
      <c r="C2" s="26"/>
      <c r="D2" s="26"/>
      <c r="E2" s="69" t="s">
        <v>117</v>
      </c>
      <c r="F2" s="70" t="s">
        <v>90</v>
      </c>
      <c r="G2" s="70" t="s">
        <v>90</v>
      </c>
      <c r="H2" s="26"/>
      <c r="I2" s="26"/>
      <c r="J2" s="69"/>
      <c r="K2" s="70"/>
      <c r="L2" s="26"/>
      <c r="M2" s="26"/>
      <c r="N2" s="26"/>
      <c r="O2" s="26"/>
      <c r="P2" s="26"/>
      <c r="Q2" s="26"/>
      <c r="R2" s="26"/>
    </row>
    <row r="3" spans="1:18" x14ac:dyDescent="0.2">
      <c r="A3" s="248"/>
      <c r="B3" s="110">
        <f>Main!F7</f>
        <v>1</v>
      </c>
      <c r="C3" s="26"/>
      <c r="D3" s="26"/>
      <c r="E3" s="66" t="s">
        <v>158</v>
      </c>
      <c r="F3" s="67">
        <f>F12/24</f>
        <v>3.875</v>
      </c>
      <c r="G3" s="67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2">
      <c r="A4" s="26"/>
      <c r="B4" s="106" t="s">
        <v>223</v>
      </c>
      <c r="C4" s="109" t="s">
        <v>222</v>
      </c>
      <c r="D4" s="60"/>
      <c r="E4" s="101" t="s">
        <v>160</v>
      </c>
      <c r="F4" s="64"/>
      <c r="G4" s="64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2">
      <c r="A5" s="103" t="s">
        <v>192</v>
      </c>
      <c r="B5" s="107">
        <f>F3+F7*(IF(B2&lt;&gt;"",B2,B3)-1)</f>
        <v>3.875</v>
      </c>
      <c r="C5" s="111"/>
      <c r="D5" s="105" t="s">
        <v>38</v>
      </c>
      <c r="E5" s="32"/>
      <c r="F5" s="68"/>
      <c r="G5" s="68"/>
      <c r="H5" s="26"/>
      <c r="I5" s="26"/>
      <c r="J5" s="71"/>
      <c r="K5" s="72"/>
      <c r="L5" s="26"/>
      <c r="M5" s="26"/>
      <c r="N5" s="26"/>
      <c r="O5" s="26"/>
      <c r="P5" s="26"/>
      <c r="Q5" s="26"/>
      <c r="R5" s="26"/>
    </row>
    <row r="6" spans="1:18" x14ac:dyDescent="0.2">
      <c r="A6" s="31" t="s">
        <v>193</v>
      </c>
      <c r="B6" s="108">
        <v>0</v>
      </c>
      <c r="C6" s="112"/>
      <c r="D6" s="33" t="s">
        <v>38</v>
      </c>
      <c r="E6" s="100" t="s">
        <v>120</v>
      </c>
      <c r="F6" s="70" t="s">
        <v>90</v>
      </c>
      <c r="G6" s="70" t="s">
        <v>90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2">
      <c r="A7" s="26"/>
      <c r="B7" s="26"/>
      <c r="C7" s="26"/>
      <c r="D7" s="26"/>
      <c r="E7" s="66" t="s">
        <v>159</v>
      </c>
      <c r="F7" s="64">
        <f>F12/24-F36/24</f>
        <v>3.375</v>
      </c>
      <c r="G7" s="97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2">
      <c r="A8" s="26"/>
      <c r="B8" s="26"/>
      <c r="C8" s="26"/>
      <c r="D8" s="26"/>
      <c r="E8" s="31"/>
      <c r="F8" s="68"/>
      <c r="G8" s="98"/>
      <c r="H8" s="26"/>
      <c r="I8" s="26"/>
      <c r="J8" s="71"/>
      <c r="K8" s="72"/>
      <c r="L8" s="26"/>
      <c r="M8" s="26"/>
      <c r="N8" s="26"/>
      <c r="O8" s="26"/>
      <c r="P8" s="26"/>
      <c r="Q8" s="26"/>
      <c r="R8" s="26"/>
    </row>
    <row r="9" spans="1:18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1:18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18" x14ac:dyDescent="0.2">
      <c r="A11" s="26"/>
      <c r="B11" s="26"/>
      <c r="C11" s="26"/>
      <c r="D11" s="42"/>
      <c r="E11" s="43" t="s">
        <v>161</v>
      </c>
      <c r="F11" s="76"/>
      <c r="G11" s="44"/>
      <c r="H11" s="136"/>
      <c r="I11" s="42"/>
      <c r="J11" s="43"/>
      <c r="K11" s="76"/>
      <c r="L11" s="44"/>
      <c r="M11" s="136"/>
      <c r="N11" s="42"/>
      <c r="O11" s="43"/>
      <c r="P11" s="44"/>
      <c r="Q11" s="44"/>
      <c r="R11" s="26"/>
    </row>
    <row r="12" spans="1:18" x14ac:dyDescent="0.2">
      <c r="A12" s="26"/>
      <c r="B12" s="26"/>
      <c r="C12" s="26"/>
      <c r="D12" s="35" t="s">
        <v>112</v>
      </c>
      <c r="E12" s="36"/>
      <c r="F12" s="77">
        <f>SUM(F16:F59)</f>
        <v>93</v>
      </c>
      <c r="G12" s="94">
        <f>SUM(G16:G59)</f>
        <v>0</v>
      </c>
      <c r="H12" s="136"/>
      <c r="I12" s="35" t="s">
        <v>112</v>
      </c>
      <c r="J12" s="36"/>
      <c r="K12" s="77">
        <f>SUM(K16:K59)</f>
        <v>0</v>
      </c>
      <c r="L12" s="94">
        <f>SUM(L16:L59)</f>
        <v>0</v>
      </c>
      <c r="M12" s="136"/>
      <c r="N12" s="35" t="s">
        <v>112</v>
      </c>
      <c r="O12" s="36"/>
      <c r="P12" s="37">
        <f>SUM(P16:P59)</f>
        <v>0</v>
      </c>
      <c r="Q12" s="94">
        <f>SUM(Q16:Q59)</f>
        <v>0</v>
      </c>
      <c r="R12" s="26"/>
    </row>
    <row r="13" spans="1:18" x14ac:dyDescent="0.2">
      <c r="A13" s="26"/>
      <c r="B13" s="26"/>
      <c r="C13" s="26"/>
      <c r="D13" s="253"/>
      <c r="E13" s="254"/>
      <c r="F13" s="254"/>
      <c r="G13" s="255"/>
      <c r="H13" s="136"/>
      <c r="I13" s="253"/>
      <c r="J13" s="254"/>
      <c r="K13" s="254"/>
      <c r="L13" s="255"/>
      <c r="M13" s="136"/>
      <c r="N13" s="253"/>
      <c r="O13" s="254"/>
      <c r="P13" s="254"/>
      <c r="Q13" s="255"/>
      <c r="R13" s="30"/>
    </row>
    <row r="14" spans="1:18" ht="15" customHeight="1" x14ac:dyDescent="0.2">
      <c r="A14" s="26"/>
      <c r="B14" s="26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61" t="s">
        <v>83</v>
      </c>
      <c r="J14" s="137" t="s">
        <v>16</v>
      </c>
      <c r="K14" s="138" t="s">
        <v>17</v>
      </c>
      <c r="L14" s="138" t="s">
        <v>215</v>
      </c>
      <c r="M14" s="136"/>
      <c r="N14" s="249" t="s">
        <v>83</v>
      </c>
      <c r="O14" s="38" t="s">
        <v>16</v>
      </c>
      <c r="P14" s="39" t="s">
        <v>17</v>
      </c>
      <c r="Q14" s="39" t="s">
        <v>215</v>
      </c>
      <c r="R14" s="26"/>
    </row>
    <row r="15" spans="1:18" x14ac:dyDescent="0.2">
      <c r="A15" s="26"/>
      <c r="B15" s="26"/>
      <c r="C15" s="26"/>
      <c r="D15" s="250"/>
      <c r="E15" s="252"/>
      <c r="F15" s="41" t="s">
        <v>18</v>
      </c>
      <c r="G15" s="41" t="s">
        <v>18</v>
      </c>
      <c r="H15" s="26"/>
      <c r="I15" s="250"/>
      <c r="J15" s="40"/>
      <c r="K15" s="41" t="s">
        <v>18</v>
      </c>
      <c r="L15" s="41" t="s">
        <v>18</v>
      </c>
      <c r="M15" s="26"/>
      <c r="N15" s="250"/>
      <c r="O15" s="40"/>
      <c r="P15" s="41" t="s">
        <v>18</v>
      </c>
      <c r="Q15" s="41" t="s">
        <v>18</v>
      </c>
      <c r="R15" s="26"/>
    </row>
    <row r="16" spans="1:18" x14ac:dyDescent="0.2">
      <c r="A16" s="26"/>
      <c r="B16" s="26"/>
      <c r="C16" s="26"/>
      <c r="D16" s="27">
        <v>1</v>
      </c>
      <c r="E16" s="26" t="s">
        <v>122</v>
      </c>
      <c r="F16" s="28">
        <v>6</v>
      </c>
      <c r="G16" s="28"/>
      <c r="H16" s="26"/>
      <c r="I16" s="27"/>
      <c r="J16" s="26"/>
      <c r="K16" s="28"/>
      <c r="L16" s="28"/>
      <c r="M16" s="26"/>
      <c r="N16" s="27"/>
      <c r="O16" s="26"/>
      <c r="P16" s="28"/>
      <c r="Q16" s="28"/>
      <c r="R16" s="26"/>
    </row>
    <row r="17" spans="1:18" x14ac:dyDescent="0.2">
      <c r="A17" s="26"/>
      <c r="B17" s="26"/>
      <c r="C17" s="26"/>
      <c r="D17" s="27">
        <v>2</v>
      </c>
      <c r="E17" s="26" t="s">
        <v>123</v>
      </c>
      <c r="F17" s="28">
        <v>5</v>
      </c>
      <c r="G17" s="28"/>
      <c r="H17" s="26"/>
      <c r="I17" s="27"/>
      <c r="J17" s="26"/>
      <c r="K17" s="28"/>
      <c r="L17" s="28"/>
      <c r="M17" s="26"/>
      <c r="N17" s="27"/>
      <c r="O17" s="26"/>
      <c r="P17" s="28"/>
      <c r="Q17" s="28"/>
      <c r="R17" s="26"/>
    </row>
    <row r="18" spans="1:18" x14ac:dyDescent="0.2">
      <c r="A18" s="26"/>
      <c r="B18" s="26"/>
      <c r="C18" s="26"/>
      <c r="D18" s="27">
        <v>3</v>
      </c>
      <c r="E18" s="26" t="s">
        <v>124</v>
      </c>
      <c r="F18" s="28">
        <v>5</v>
      </c>
      <c r="G18" s="28"/>
      <c r="H18" s="26"/>
      <c r="I18" s="27"/>
      <c r="J18" s="26"/>
      <c r="K18" s="28"/>
      <c r="L18" s="28"/>
      <c r="M18" s="26"/>
      <c r="N18" s="27"/>
      <c r="O18" s="26"/>
      <c r="P18" s="28"/>
      <c r="Q18" s="28"/>
      <c r="R18" s="26"/>
    </row>
    <row r="19" spans="1:18" x14ac:dyDescent="0.2">
      <c r="A19" s="26"/>
      <c r="B19" s="26"/>
      <c r="C19" s="26"/>
      <c r="D19" s="27">
        <v>4</v>
      </c>
      <c r="E19" s="26" t="s">
        <v>125</v>
      </c>
      <c r="F19" s="28">
        <v>5</v>
      </c>
      <c r="G19" s="28"/>
      <c r="H19" s="26"/>
      <c r="I19" s="27"/>
      <c r="J19" s="26"/>
      <c r="K19" s="28"/>
      <c r="L19" s="28"/>
      <c r="M19" s="26"/>
      <c r="N19" s="27"/>
      <c r="O19" s="26"/>
      <c r="P19" s="28"/>
      <c r="Q19" s="28"/>
      <c r="R19" s="26"/>
    </row>
    <row r="20" spans="1:18" x14ac:dyDescent="0.2">
      <c r="A20" s="26"/>
      <c r="B20" s="26"/>
      <c r="C20" s="26"/>
      <c r="D20" s="27"/>
      <c r="E20" s="26"/>
      <c r="F20" s="28"/>
      <c r="G20" s="28"/>
      <c r="H20" s="26"/>
      <c r="I20" s="27"/>
      <c r="J20" s="26"/>
      <c r="K20" s="28"/>
      <c r="L20" s="28"/>
      <c r="M20" s="26"/>
      <c r="N20" s="27"/>
      <c r="O20" s="26"/>
      <c r="P20" s="28"/>
      <c r="Q20" s="28"/>
      <c r="R20" s="26"/>
    </row>
    <row r="21" spans="1:18" x14ac:dyDescent="0.2">
      <c r="A21" s="26"/>
      <c r="B21" s="26"/>
      <c r="C21" s="26"/>
      <c r="D21" s="27">
        <v>5</v>
      </c>
      <c r="E21" s="26" t="s">
        <v>126</v>
      </c>
      <c r="F21" s="28">
        <v>5</v>
      </c>
      <c r="G21" s="28"/>
      <c r="H21" s="26"/>
      <c r="I21" s="27"/>
      <c r="J21" s="26"/>
      <c r="K21" s="28"/>
      <c r="L21" s="28"/>
      <c r="M21" s="26"/>
      <c r="N21" s="27"/>
      <c r="O21" s="26"/>
      <c r="P21" s="28"/>
      <c r="Q21" s="28"/>
      <c r="R21" s="26"/>
    </row>
    <row r="22" spans="1:18" x14ac:dyDescent="0.2">
      <c r="A22" s="26"/>
      <c r="B22" s="26"/>
      <c r="C22" s="26"/>
      <c r="D22" s="27">
        <v>6</v>
      </c>
      <c r="E22" s="26" t="s">
        <v>127</v>
      </c>
      <c r="F22" s="28">
        <v>5</v>
      </c>
      <c r="G22" s="28"/>
      <c r="H22" s="26"/>
      <c r="I22" s="27"/>
      <c r="J22" s="26"/>
      <c r="K22" s="28"/>
      <c r="L22" s="28"/>
      <c r="M22" s="26"/>
      <c r="N22" s="27"/>
      <c r="O22" s="26"/>
      <c r="P22" s="28"/>
      <c r="Q22" s="28"/>
      <c r="R22" s="26"/>
    </row>
    <row r="23" spans="1:18" x14ac:dyDescent="0.2">
      <c r="A23" s="26"/>
      <c r="B23" s="26"/>
      <c r="C23" s="26"/>
      <c r="D23" s="27">
        <v>7</v>
      </c>
      <c r="E23" s="26" t="s">
        <v>128</v>
      </c>
      <c r="F23" s="28">
        <v>5</v>
      </c>
      <c r="G23" s="28"/>
      <c r="H23" s="26"/>
      <c r="I23" s="27"/>
      <c r="J23" s="26"/>
      <c r="K23" s="28"/>
      <c r="L23" s="28"/>
      <c r="M23" s="26"/>
      <c r="N23" s="27"/>
      <c r="O23" s="26"/>
      <c r="P23" s="28"/>
      <c r="Q23" s="28"/>
      <c r="R23" s="26"/>
    </row>
    <row r="24" spans="1:18" x14ac:dyDescent="0.2">
      <c r="A24" s="26"/>
      <c r="B24" s="26"/>
      <c r="C24" s="26"/>
      <c r="D24" s="27">
        <v>8</v>
      </c>
      <c r="E24" s="26" t="s">
        <v>129</v>
      </c>
      <c r="F24" s="28">
        <v>5</v>
      </c>
      <c r="G24" s="28"/>
      <c r="H24" s="26"/>
      <c r="I24" s="27"/>
      <c r="J24" s="26"/>
      <c r="K24" s="28"/>
      <c r="L24" s="28"/>
      <c r="M24" s="26"/>
      <c r="N24" s="27"/>
      <c r="O24" s="26"/>
      <c r="P24" s="28"/>
      <c r="Q24" s="28"/>
      <c r="R24" s="26"/>
    </row>
    <row r="25" spans="1:18" x14ac:dyDescent="0.2">
      <c r="A25" s="26"/>
      <c r="B25" s="26"/>
      <c r="C25" s="26"/>
      <c r="D25" s="27"/>
      <c r="E25" s="26"/>
      <c r="F25" s="28"/>
      <c r="G25" s="28"/>
      <c r="H25" s="26"/>
      <c r="I25" s="27"/>
      <c r="J25" s="26"/>
      <c r="K25" s="28"/>
      <c r="L25" s="28"/>
      <c r="M25" s="26"/>
      <c r="N25" s="27"/>
      <c r="O25" s="26"/>
      <c r="P25" s="28"/>
      <c r="Q25" s="28"/>
      <c r="R25" s="26"/>
    </row>
    <row r="26" spans="1:18" x14ac:dyDescent="0.2">
      <c r="A26" s="26"/>
      <c r="B26" s="26"/>
      <c r="C26" s="26"/>
      <c r="D26" s="27">
        <v>9</v>
      </c>
      <c r="E26" s="26" t="s">
        <v>130</v>
      </c>
      <c r="F26" s="28">
        <v>5</v>
      </c>
      <c r="G26" s="28"/>
      <c r="H26" s="26"/>
      <c r="I26" s="27"/>
      <c r="J26" s="26"/>
      <c r="K26" s="28"/>
      <c r="L26" s="28"/>
      <c r="M26" s="26"/>
      <c r="N26" s="27"/>
      <c r="O26" s="26"/>
      <c r="P26" s="28"/>
      <c r="Q26" s="28"/>
      <c r="R26" s="26"/>
    </row>
    <row r="27" spans="1:18" x14ac:dyDescent="0.2">
      <c r="A27" s="26"/>
      <c r="B27" s="26"/>
      <c r="C27" s="26"/>
      <c r="D27" s="27">
        <v>10</v>
      </c>
      <c r="E27" s="26" t="s">
        <v>131</v>
      </c>
      <c r="F27" s="28">
        <v>5</v>
      </c>
      <c r="G27" s="28"/>
      <c r="H27" s="26"/>
      <c r="I27" s="27"/>
      <c r="J27" s="26"/>
      <c r="K27" s="28"/>
      <c r="L27" s="28"/>
      <c r="M27" s="26"/>
      <c r="N27" s="27"/>
      <c r="O27" s="26"/>
      <c r="P27" s="28"/>
      <c r="Q27" s="28"/>
      <c r="R27" s="26"/>
    </row>
    <row r="28" spans="1:18" x14ac:dyDescent="0.2">
      <c r="A28" s="26"/>
      <c r="B28" s="26"/>
      <c r="C28" s="26"/>
      <c r="D28" s="27">
        <v>11</v>
      </c>
      <c r="E28" s="26" t="s">
        <v>132</v>
      </c>
      <c r="F28" s="28">
        <v>5</v>
      </c>
      <c r="G28" s="28"/>
      <c r="H28" s="26"/>
      <c r="I28" s="27"/>
      <c r="J28" s="26"/>
      <c r="K28" s="28"/>
      <c r="L28" s="28"/>
      <c r="M28" s="26"/>
      <c r="N28" s="27"/>
      <c r="O28" s="26"/>
      <c r="P28" s="28"/>
      <c r="Q28" s="28"/>
      <c r="R28" s="26"/>
    </row>
    <row r="29" spans="1:18" x14ac:dyDescent="0.2">
      <c r="A29" s="26"/>
      <c r="B29" s="26"/>
      <c r="C29" s="26"/>
      <c r="D29" s="27">
        <v>12</v>
      </c>
      <c r="E29" s="26" t="s">
        <v>133</v>
      </c>
      <c r="F29" s="28">
        <v>5</v>
      </c>
      <c r="G29" s="28"/>
      <c r="H29" s="26"/>
      <c r="I29" s="27"/>
      <c r="J29" s="26"/>
      <c r="K29" s="28"/>
      <c r="L29" s="28"/>
      <c r="M29" s="26"/>
      <c r="N29" s="27"/>
      <c r="O29" s="26"/>
      <c r="P29" s="28"/>
      <c r="Q29" s="28"/>
      <c r="R29" s="26"/>
    </row>
    <row r="30" spans="1:18" x14ac:dyDescent="0.2">
      <c r="A30" s="26"/>
      <c r="B30" s="26"/>
      <c r="C30" s="26"/>
      <c r="D30" s="27"/>
      <c r="E30" s="26"/>
      <c r="F30" s="28"/>
      <c r="G30" s="28"/>
      <c r="H30" s="26"/>
      <c r="I30" s="27"/>
      <c r="J30" s="26"/>
      <c r="K30" s="28"/>
      <c r="L30" s="28"/>
      <c r="M30" s="26"/>
      <c r="N30" s="27"/>
      <c r="O30" s="26"/>
      <c r="P30" s="28"/>
      <c r="Q30" s="28"/>
      <c r="R30" s="26"/>
    </row>
    <row r="31" spans="1:18" x14ac:dyDescent="0.2">
      <c r="A31" s="26"/>
      <c r="B31" s="26"/>
      <c r="C31" s="26"/>
      <c r="D31" s="27">
        <v>13</v>
      </c>
      <c r="E31" s="26" t="s">
        <v>134</v>
      </c>
      <c r="F31" s="28">
        <v>5</v>
      </c>
      <c r="G31" s="28"/>
      <c r="H31" s="26"/>
      <c r="I31" s="27"/>
      <c r="J31" s="26"/>
      <c r="K31" s="28"/>
      <c r="L31" s="28"/>
      <c r="M31" s="26"/>
      <c r="N31" s="27"/>
      <c r="O31" s="26"/>
      <c r="P31" s="28"/>
      <c r="Q31" s="28"/>
      <c r="R31" s="26"/>
    </row>
    <row r="32" spans="1:18" x14ac:dyDescent="0.2">
      <c r="A32" s="26"/>
      <c r="B32" s="26"/>
      <c r="C32" s="26"/>
      <c r="D32" s="27">
        <v>14</v>
      </c>
      <c r="E32" s="26" t="s">
        <v>135</v>
      </c>
      <c r="F32" s="28">
        <v>5</v>
      </c>
      <c r="G32" s="28"/>
      <c r="H32" s="26"/>
      <c r="I32" s="27"/>
      <c r="J32" s="26"/>
      <c r="K32" s="28"/>
      <c r="L32" s="28"/>
      <c r="M32" s="26"/>
      <c r="N32" s="27"/>
      <c r="O32" s="26"/>
      <c r="P32" s="28"/>
      <c r="Q32" s="28"/>
      <c r="R32" s="26"/>
    </row>
    <row r="33" spans="1:18" x14ac:dyDescent="0.2">
      <c r="A33" s="26"/>
      <c r="B33" s="26"/>
      <c r="C33" s="26"/>
      <c r="D33" s="27">
        <v>15</v>
      </c>
      <c r="E33" s="26" t="s">
        <v>136</v>
      </c>
      <c r="F33" s="28">
        <v>5</v>
      </c>
      <c r="G33" s="28"/>
      <c r="H33" s="26"/>
      <c r="I33" s="27"/>
      <c r="J33" s="26"/>
      <c r="K33" s="28"/>
      <c r="L33" s="28"/>
      <c r="M33" s="26"/>
      <c r="N33" s="27"/>
      <c r="O33" s="26"/>
      <c r="P33" s="28"/>
      <c r="Q33" s="28"/>
      <c r="R33" s="26"/>
    </row>
    <row r="34" spans="1:18" x14ac:dyDescent="0.2">
      <c r="A34" s="26"/>
      <c r="B34" s="26"/>
      <c r="C34" s="26"/>
      <c r="D34" s="27">
        <v>16</v>
      </c>
      <c r="E34" s="26" t="s">
        <v>137</v>
      </c>
      <c r="F34" s="28">
        <v>5</v>
      </c>
      <c r="G34" s="28"/>
      <c r="H34" s="26"/>
      <c r="I34" s="27"/>
      <c r="J34" s="26"/>
      <c r="K34" s="28"/>
      <c r="L34" s="28"/>
      <c r="M34" s="26"/>
      <c r="N34" s="27"/>
      <c r="O34" s="26"/>
      <c r="P34" s="28"/>
      <c r="Q34" s="28"/>
      <c r="R34" s="26"/>
    </row>
    <row r="35" spans="1:18" x14ac:dyDescent="0.2">
      <c r="A35" s="26"/>
      <c r="B35" s="26"/>
      <c r="C35" s="26"/>
      <c r="D35" s="27"/>
      <c r="E35" s="26"/>
      <c r="F35" s="28"/>
      <c r="G35" s="28"/>
      <c r="H35" s="26"/>
      <c r="I35" s="27"/>
      <c r="J35" s="26"/>
      <c r="K35" s="28"/>
      <c r="L35" s="28"/>
      <c r="M35" s="26"/>
      <c r="N35" s="27"/>
      <c r="O35" s="26"/>
      <c r="P35" s="28"/>
      <c r="Q35" s="28"/>
      <c r="R35" s="26"/>
    </row>
    <row r="36" spans="1:18" x14ac:dyDescent="0.2">
      <c r="A36" s="26"/>
      <c r="B36" s="26"/>
      <c r="C36" s="26"/>
      <c r="D36" s="27">
        <v>17</v>
      </c>
      <c r="E36" s="26" t="s">
        <v>138</v>
      </c>
      <c r="F36" s="28">
        <v>12</v>
      </c>
      <c r="G36" s="28"/>
      <c r="H36" s="26"/>
      <c r="I36" s="27"/>
      <c r="J36" s="26"/>
      <c r="K36" s="28"/>
      <c r="L36" s="28"/>
      <c r="M36" s="26"/>
      <c r="N36" s="27"/>
      <c r="O36" s="26"/>
      <c r="P36" s="28"/>
      <c r="Q36" s="28"/>
      <c r="R36" s="26"/>
    </row>
    <row r="37" spans="1:18" x14ac:dyDescent="0.2">
      <c r="A37" s="26"/>
      <c r="B37" s="26"/>
      <c r="C37" s="26"/>
      <c r="D37" s="27"/>
      <c r="E37" s="26"/>
      <c r="F37" s="28"/>
      <c r="G37" s="28"/>
      <c r="H37" s="26"/>
      <c r="I37" s="27"/>
      <c r="J37" s="26"/>
      <c r="K37" s="28"/>
      <c r="L37" s="28"/>
      <c r="M37" s="26"/>
      <c r="N37" s="27"/>
      <c r="O37" s="26"/>
      <c r="P37" s="28"/>
      <c r="Q37" s="28"/>
      <c r="R37" s="26"/>
    </row>
    <row r="38" spans="1:18" x14ac:dyDescent="0.2">
      <c r="A38" s="26"/>
      <c r="B38" s="26"/>
      <c r="C38" s="26"/>
      <c r="D38" s="27"/>
      <c r="E38" s="26"/>
      <c r="F38" s="28"/>
      <c r="G38" s="28"/>
      <c r="H38" s="26"/>
      <c r="I38" s="27"/>
      <c r="J38" s="26"/>
      <c r="K38" s="28"/>
      <c r="L38" s="28"/>
      <c r="M38" s="26"/>
      <c r="N38" s="27"/>
      <c r="O38" s="26"/>
      <c r="P38" s="28"/>
      <c r="Q38" s="28"/>
      <c r="R38" s="26"/>
    </row>
    <row r="39" spans="1:18" x14ac:dyDescent="0.2">
      <c r="A39" s="26"/>
      <c r="B39" s="26"/>
      <c r="C39" s="26"/>
      <c r="D39" s="27"/>
      <c r="E39" s="26"/>
      <c r="F39" s="28"/>
      <c r="G39" s="28"/>
      <c r="H39" s="26"/>
      <c r="I39" s="27"/>
      <c r="J39" s="26"/>
      <c r="K39" s="28"/>
      <c r="L39" s="28"/>
      <c r="M39" s="26"/>
      <c r="N39" s="27"/>
      <c r="O39" s="26"/>
      <c r="P39" s="28"/>
      <c r="Q39" s="28"/>
      <c r="R39" s="26"/>
    </row>
    <row r="40" spans="1:18" x14ac:dyDescent="0.2">
      <c r="A40" s="26"/>
      <c r="B40" s="26"/>
      <c r="C40" s="26"/>
      <c r="D40" s="27"/>
      <c r="E40" s="26"/>
      <c r="F40" s="28"/>
      <c r="G40" s="28"/>
      <c r="H40" s="26"/>
      <c r="I40" s="27"/>
      <c r="J40" s="26"/>
      <c r="K40" s="28"/>
      <c r="L40" s="28"/>
      <c r="M40" s="26"/>
      <c r="N40" s="27"/>
      <c r="O40" s="26"/>
      <c r="P40" s="28"/>
      <c r="Q40" s="28"/>
      <c r="R40" s="26"/>
    </row>
    <row r="41" spans="1:18" x14ac:dyDescent="0.2">
      <c r="A41" s="26"/>
      <c r="B41" s="26"/>
      <c r="C41" s="26"/>
      <c r="D41" s="27"/>
      <c r="E41" s="26"/>
      <c r="F41" s="28"/>
      <c r="G41" s="28"/>
      <c r="H41" s="26"/>
      <c r="I41" s="27"/>
      <c r="J41" s="26"/>
      <c r="K41" s="28"/>
      <c r="L41" s="28"/>
      <c r="M41" s="26"/>
      <c r="N41" s="27"/>
      <c r="O41" s="26"/>
      <c r="P41" s="28"/>
      <c r="Q41" s="28"/>
      <c r="R41" s="26"/>
    </row>
    <row r="42" spans="1:18" x14ac:dyDescent="0.2">
      <c r="A42" s="26"/>
      <c r="B42" s="26"/>
      <c r="C42" s="26"/>
      <c r="D42" s="27"/>
      <c r="E42" s="26"/>
      <c r="F42" s="28"/>
      <c r="G42" s="28"/>
      <c r="H42" s="26"/>
      <c r="I42" s="27"/>
      <c r="J42" s="26"/>
      <c r="K42" s="28"/>
      <c r="L42" s="28"/>
      <c r="M42" s="26"/>
      <c r="N42" s="27"/>
      <c r="O42" s="26"/>
      <c r="P42" s="28"/>
      <c r="Q42" s="28"/>
      <c r="R42" s="26"/>
    </row>
    <row r="43" spans="1:18" x14ac:dyDescent="0.2">
      <c r="A43" s="26"/>
      <c r="B43" s="26"/>
      <c r="C43" s="26"/>
      <c r="D43" s="27"/>
      <c r="E43" s="26"/>
      <c r="F43" s="28"/>
      <c r="G43" s="28"/>
      <c r="H43" s="26"/>
      <c r="I43" s="27"/>
      <c r="J43" s="26"/>
      <c r="K43" s="28"/>
      <c r="L43" s="28"/>
      <c r="M43" s="26"/>
      <c r="N43" s="27"/>
      <c r="O43" s="26"/>
      <c r="P43" s="28"/>
      <c r="Q43" s="28"/>
      <c r="R43" s="26"/>
    </row>
    <row r="44" spans="1:18" x14ac:dyDescent="0.2">
      <c r="A44" s="26"/>
      <c r="B44" s="26"/>
      <c r="C44" s="26"/>
      <c r="D44" s="27"/>
      <c r="E44" s="26"/>
      <c r="F44" s="28"/>
      <c r="G44" s="28"/>
      <c r="H44" s="26"/>
      <c r="I44" s="27"/>
      <c r="J44" s="26"/>
      <c r="K44" s="28"/>
      <c r="L44" s="28"/>
      <c r="M44" s="26"/>
      <c r="N44" s="27"/>
      <c r="O44" s="26"/>
      <c r="P44" s="28"/>
      <c r="Q44" s="28"/>
      <c r="R44" s="26"/>
    </row>
    <row r="45" spans="1:18" x14ac:dyDescent="0.2">
      <c r="A45" s="26"/>
      <c r="B45" s="26"/>
      <c r="C45" s="26"/>
      <c r="D45" s="27"/>
      <c r="E45" s="26"/>
      <c r="F45" s="28"/>
      <c r="G45" s="28"/>
      <c r="H45" s="26"/>
      <c r="I45" s="27"/>
      <c r="J45" s="26"/>
      <c r="K45" s="28"/>
      <c r="L45" s="28"/>
      <c r="M45" s="26"/>
      <c r="N45" s="27"/>
      <c r="O45" s="26"/>
      <c r="P45" s="28"/>
      <c r="Q45" s="28"/>
      <c r="R45" s="26"/>
    </row>
    <row r="46" spans="1:18" x14ac:dyDescent="0.2">
      <c r="A46" s="26"/>
      <c r="B46" s="26"/>
      <c r="C46" s="26"/>
      <c r="D46" s="27"/>
      <c r="E46" s="26"/>
      <c r="F46" s="28"/>
      <c r="G46" s="28"/>
      <c r="H46" s="26"/>
      <c r="I46" s="27"/>
      <c r="J46" s="26"/>
      <c r="K46" s="28"/>
      <c r="L46" s="28"/>
      <c r="M46" s="26"/>
      <c r="N46" s="27"/>
      <c r="O46" s="26"/>
      <c r="P46" s="28"/>
      <c r="Q46" s="28"/>
      <c r="R46" s="26"/>
    </row>
    <row r="47" spans="1:18" x14ac:dyDescent="0.2">
      <c r="A47" s="26"/>
      <c r="B47" s="26"/>
      <c r="C47" s="26"/>
      <c r="D47" s="27"/>
      <c r="E47" s="26"/>
      <c r="F47" s="28"/>
      <c r="G47" s="28"/>
      <c r="H47" s="26"/>
      <c r="I47" s="27"/>
      <c r="J47" s="26"/>
      <c r="K47" s="28"/>
      <c r="L47" s="28"/>
      <c r="M47" s="26"/>
      <c r="N47" s="27"/>
      <c r="O47" s="26"/>
      <c r="P47" s="28"/>
      <c r="Q47" s="28"/>
      <c r="R47" s="26"/>
    </row>
    <row r="48" spans="1:18" x14ac:dyDescent="0.2">
      <c r="A48" s="26"/>
      <c r="B48" s="26"/>
      <c r="C48" s="26"/>
      <c r="D48" s="27"/>
      <c r="E48" s="26"/>
      <c r="F48" s="28"/>
      <c r="G48" s="28"/>
      <c r="H48" s="26"/>
      <c r="I48" s="27"/>
      <c r="J48" s="26"/>
      <c r="K48" s="28"/>
      <c r="L48" s="28"/>
      <c r="M48" s="26"/>
      <c r="N48" s="27"/>
      <c r="O48" s="26"/>
      <c r="P48" s="28"/>
      <c r="Q48" s="28"/>
      <c r="R48" s="26"/>
    </row>
    <row r="49" spans="1:18" x14ac:dyDescent="0.2">
      <c r="A49" s="26"/>
      <c r="B49" s="26"/>
      <c r="C49" s="26"/>
      <c r="D49" s="27"/>
      <c r="E49" s="26"/>
      <c r="F49" s="28"/>
      <c r="G49" s="28"/>
      <c r="H49" s="26"/>
      <c r="I49" s="27"/>
      <c r="J49" s="26"/>
      <c r="K49" s="28"/>
      <c r="L49" s="28"/>
      <c r="M49" s="26"/>
      <c r="N49" s="27"/>
      <c r="O49" s="26"/>
      <c r="P49" s="28"/>
      <c r="Q49" s="28"/>
      <c r="R49" s="26"/>
    </row>
    <row r="50" spans="1:18" x14ac:dyDescent="0.2">
      <c r="A50" s="26"/>
      <c r="B50" s="26"/>
      <c r="C50" s="26"/>
      <c r="D50" s="27"/>
      <c r="E50" s="26"/>
      <c r="F50" s="28"/>
      <c r="G50" s="28"/>
      <c r="H50" s="26"/>
      <c r="I50" s="27"/>
      <c r="J50" s="26"/>
      <c r="K50" s="28"/>
      <c r="L50" s="28"/>
      <c r="M50" s="26"/>
      <c r="N50" s="27"/>
      <c r="O50" s="26"/>
      <c r="P50" s="28"/>
      <c r="Q50" s="28"/>
      <c r="R50" s="26"/>
    </row>
    <row r="51" spans="1:18" x14ac:dyDescent="0.2">
      <c r="A51" s="26"/>
      <c r="B51" s="26"/>
      <c r="C51" s="26"/>
      <c r="D51" s="27"/>
      <c r="E51" s="26"/>
      <c r="F51" s="28"/>
      <c r="G51" s="28"/>
      <c r="H51" s="26"/>
      <c r="I51" s="27"/>
      <c r="J51" s="26"/>
      <c r="K51" s="28"/>
      <c r="L51" s="28"/>
      <c r="M51" s="26"/>
      <c r="N51" s="27"/>
      <c r="O51" s="26"/>
      <c r="P51" s="28"/>
      <c r="Q51" s="28"/>
      <c r="R51" s="26"/>
    </row>
    <row r="52" spans="1:18" x14ac:dyDescent="0.2">
      <c r="A52" s="26"/>
      <c r="B52" s="26"/>
      <c r="C52" s="26"/>
      <c r="D52" s="27"/>
      <c r="E52" s="26"/>
      <c r="F52" s="28"/>
      <c r="G52" s="28"/>
      <c r="H52" s="26"/>
      <c r="I52" s="27"/>
      <c r="J52" s="26"/>
      <c r="K52" s="28"/>
      <c r="L52" s="28"/>
      <c r="M52" s="26"/>
      <c r="N52" s="27"/>
      <c r="O52" s="26"/>
      <c r="P52" s="28"/>
      <c r="Q52" s="28"/>
      <c r="R52" s="26"/>
    </row>
    <row r="53" spans="1:18" x14ac:dyDescent="0.2">
      <c r="A53" s="26"/>
      <c r="B53" s="26"/>
      <c r="C53" s="26"/>
      <c r="D53" s="27"/>
      <c r="E53" s="26"/>
      <c r="F53" s="28"/>
      <c r="G53" s="28"/>
      <c r="H53" s="26"/>
      <c r="I53" s="27"/>
      <c r="J53" s="26"/>
      <c r="K53" s="28"/>
      <c r="L53" s="28"/>
      <c r="M53" s="26"/>
      <c r="N53" s="27"/>
      <c r="O53" s="26"/>
      <c r="P53" s="28"/>
      <c r="Q53" s="28"/>
      <c r="R53" s="26"/>
    </row>
    <row r="54" spans="1:18" x14ac:dyDescent="0.2">
      <c r="A54" s="26"/>
      <c r="B54" s="26"/>
      <c r="C54" s="26"/>
      <c r="D54" s="27"/>
      <c r="E54" s="26"/>
      <c r="F54" s="28"/>
      <c r="G54" s="28"/>
      <c r="H54" s="26"/>
      <c r="I54" s="27"/>
      <c r="J54" s="26"/>
      <c r="K54" s="28"/>
      <c r="L54" s="28"/>
      <c r="M54" s="26"/>
      <c r="N54" s="27"/>
      <c r="O54" s="26"/>
      <c r="P54" s="28"/>
      <c r="Q54" s="28"/>
      <c r="R54" s="26"/>
    </row>
    <row r="55" spans="1:18" x14ac:dyDescent="0.2">
      <c r="A55" s="26"/>
      <c r="B55" s="26"/>
      <c r="C55" s="26"/>
      <c r="D55" s="27"/>
      <c r="E55" s="26"/>
      <c r="F55" s="28"/>
      <c r="G55" s="28"/>
      <c r="H55" s="26"/>
      <c r="I55" s="27"/>
      <c r="J55" s="26"/>
      <c r="K55" s="28"/>
      <c r="L55" s="28"/>
      <c r="M55" s="26"/>
      <c r="N55" s="27"/>
      <c r="O55" s="26"/>
      <c r="P55" s="28"/>
      <c r="Q55" s="28"/>
      <c r="R55" s="26"/>
    </row>
    <row r="56" spans="1:18" x14ac:dyDescent="0.2">
      <c r="A56" s="26"/>
      <c r="B56" s="26"/>
      <c r="C56" s="26"/>
      <c r="D56" s="27"/>
      <c r="E56" s="26"/>
      <c r="F56" s="28"/>
      <c r="G56" s="28"/>
      <c r="H56" s="26"/>
      <c r="I56" s="27"/>
      <c r="J56" s="26"/>
      <c r="K56" s="28"/>
      <c r="L56" s="28"/>
      <c r="M56" s="26"/>
      <c r="N56" s="27"/>
      <c r="O56" s="26"/>
      <c r="P56" s="28"/>
      <c r="Q56" s="28"/>
      <c r="R56" s="26"/>
    </row>
    <row r="57" spans="1:18" x14ac:dyDescent="0.2">
      <c r="A57" s="26"/>
      <c r="B57" s="26"/>
      <c r="C57" s="26"/>
      <c r="D57" s="27"/>
      <c r="E57" s="26"/>
      <c r="F57" s="28"/>
      <c r="G57" s="28"/>
      <c r="H57" s="26"/>
      <c r="I57" s="27"/>
      <c r="J57" s="26"/>
      <c r="K57" s="28"/>
      <c r="L57" s="28"/>
      <c r="M57" s="26"/>
      <c r="N57" s="27"/>
      <c r="O57" s="26"/>
      <c r="P57" s="28"/>
      <c r="Q57" s="28"/>
      <c r="R57" s="26"/>
    </row>
    <row r="58" spans="1:18" x14ac:dyDescent="0.2">
      <c r="A58" s="26"/>
      <c r="B58" s="26"/>
      <c r="C58" s="26"/>
      <c r="D58" s="27"/>
      <c r="E58" s="26"/>
      <c r="F58" s="28"/>
      <c r="G58" s="28"/>
      <c r="H58" s="26"/>
      <c r="I58" s="27"/>
      <c r="J58" s="26"/>
      <c r="K58" s="28"/>
      <c r="L58" s="28"/>
      <c r="M58" s="26"/>
      <c r="N58" s="27"/>
      <c r="O58" s="26"/>
      <c r="P58" s="28"/>
      <c r="Q58" s="28"/>
      <c r="R58" s="26"/>
    </row>
    <row r="59" spans="1:18" x14ac:dyDescent="0.2">
      <c r="A59" s="26"/>
      <c r="B59" s="26"/>
      <c r="C59" s="26"/>
      <c r="D59" s="27"/>
      <c r="E59" s="26"/>
      <c r="F59" s="28"/>
      <c r="G59" s="28"/>
      <c r="H59" s="26"/>
      <c r="I59" s="27"/>
      <c r="J59" s="26"/>
      <c r="K59" s="28"/>
      <c r="L59" s="28"/>
      <c r="M59" s="26"/>
      <c r="N59" s="27"/>
      <c r="O59" s="26"/>
      <c r="P59" s="28"/>
      <c r="Q59" s="28"/>
      <c r="R59" s="26"/>
    </row>
    <row r="60" spans="1:18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</row>
    <row r="61" spans="1:18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</row>
    <row r="62" spans="1:18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</row>
    <row r="63" spans="1:18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</row>
  </sheetData>
  <mergeCells count="8">
    <mergeCell ref="A2:A3"/>
    <mergeCell ref="D13:G13"/>
    <mergeCell ref="I13:L13"/>
    <mergeCell ref="N13:Q13"/>
    <mergeCell ref="D14:D15"/>
    <mergeCell ref="E14:E15"/>
    <mergeCell ref="I14:I15"/>
    <mergeCell ref="N14:N15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795F8-BDDA-47BC-8652-FF958CA0D53E}">
  <sheetPr codeName="Sheet20">
    <tabColor theme="5" tint="0.59999389629810485"/>
  </sheetPr>
  <dimension ref="A1"/>
  <sheetViews>
    <sheetView workbookViewId="0">
      <selection activeCell="D24" sqref="D24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310B0-7C31-42D1-A80F-3B36EF08F067}">
  <sheetPr codeName="Sheet22">
    <tabColor theme="9" tint="0.59999389629810485"/>
  </sheetPr>
  <dimension ref="A1:AA63"/>
  <sheetViews>
    <sheetView workbookViewId="0"/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hidden="1" customWidth="1"/>
    <col min="8" max="8" width="1.6640625" customWidth="1"/>
    <col min="9" max="9" width="13.6640625" customWidth="1"/>
    <col min="10" max="10" width="54.6640625" customWidth="1"/>
    <col min="12" max="12" width="11" hidden="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hidden="1" customWidth="1"/>
    <col min="18" max="18" width="1.6640625" customWidth="1"/>
    <col min="19" max="19" width="13.6640625" customWidth="1"/>
    <col min="20" max="20" width="54.6640625" customWidth="1"/>
    <col min="21" max="21" width="9.5" bestFit="1" customWidth="1"/>
    <col min="22" max="22" width="11" hidden="1" customWidth="1"/>
    <col min="23" max="23" width="1.6640625" customWidth="1"/>
    <col min="24" max="24" width="13.6640625" customWidth="1"/>
    <col min="25" max="25" width="54.6640625" customWidth="1"/>
    <col min="26" max="26" width="9.5" bestFit="1" customWidth="1"/>
    <col min="27" max="27" width="11" hidden="1" customWidth="1"/>
  </cols>
  <sheetData>
    <row r="1" spans="1:27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7" x14ac:dyDescent="0.2">
      <c r="A2" s="247" t="s">
        <v>153</v>
      </c>
      <c r="B2" s="99"/>
      <c r="C2" s="26"/>
      <c r="D2" s="26"/>
      <c r="E2" s="69" t="s">
        <v>140</v>
      </c>
      <c r="F2" s="70" t="s">
        <v>90</v>
      </c>
      <c r="G2" s="70" t="s">
        <v>90</v>
      </c>
      <c r="H2" s="26"/>
      <c r="I2" s="26"/>
      <c r="J2" s="69"/>
      <c r="K2" s="70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</row>
    <row r="3" spans="1:27" x14ac:dyDescent="0.2">
      <c r="A3" s="248"/>
      <c r="B3" s="110">
        <f>Main!F7</f>
        <v>1</v>
      </c>
      <c r="C3" s="26"/>
      <c r="D3" s="26"/>
      <c r="E3" s="66" t="s">
        <v>151</v>
      </c>
      <c r="F3" s="67">
        <f>Z12/24</f>
        <v>6.708333333333333</v>
      </c>
      <c r="G3" s="67">
        <f>AA12/24</f>
        <v>0.18290682999999999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</row>
    <row r="4" spans="1:27" x14ac:dyDescent="0.2">
      <c r="A4" s="26"/>
      <c r="B4" s="106" t="s">
        <v>223</v>
      </c>
      <c r="C4" s="109" t="s">
        <v>222</v>
      </c>
      <c r="D4" s="60"/>
      <c r="E4" s="26"/>
      <c r="F4" s="64"/>
      <c r="G4" s="64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</row>
    <row r="5" spans="1:27" x14ac:dyDescent="0.2">
      <c r="A5" s="103" t="s">
        <v>192</v>
      </c>
      <c r="B5" s="104">
        <v>0</v>
      </c>
      <c r="C5" s="111">
        <v>0</v>
      </c>
      <c r="D5" s="105" t="s">
        <v>38</v>
      </c>
      <c r="E5" s="32"/>
      <c r="F5" s="68"/>
      <c r="G5" s="68"/>
      <c r="H5" s="26"/>
      <c r="I5" s="26"/>
      <c r="J5" s="71"/>
      <c r="K5" s="72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</row>
    <row r="6" spans="1:27" x14ac:dyDescent="0.2">
      <c r="A6" s="31" t="s">
        <v>193</v>
      </c>
      <c r="B6" s="102">
        <f>F3+F7*(IF(B2&lt;&gt;"",B2,B3)-1)</f>
        <v>6.708333333333333</v>
      </c>
      <c r="C6" s="112">
        <f>F3+G3+(F7+G7)*(IF(B2&lt;&gt;"",B2,B3)-1)</f>
        <v>6.8912401633333333</v>
      </c>
      <c r="D6" s="33" t="s">
        <v>38</v>
      </c>
      <c r="E6" s="100" t="s">
        <v>120</v>
      </c>
      <c r="F6" s="70" t="s">
        <v>90</v>
      </c>
      <c r="G6" s="70" t="s">
        <v>90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</row>
    <row r="7" spans="1:27" x14ac:dyDescent="0.2">
      <c r="A7" s="26"/>
      <c r="B7" s="26"/>
      <c r="C7" s="26"/>
      <c r="D7" s="26"/>
      <c r="E7" s="30" t="s">
        <v>152</v>
      </c>
      <c r="F7" s="64">
        <f>F3+18/24</f>
        <v>7.458333333333333</v>
      </c>
      <c r="G7" s="97">
        <f>G3</f>
        <v>0.18290682999999999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7" x14ac:dyDescent="0.2">
      <c r="A8" s="26"/>
      <c r="B8" s="26"/>
      <c r="C8" s="26"/>
      <c r="D8" s="26"/>
      <c r="E8" s="31"/>
      <c r="F8" s="68"/>
      <c r="G8" s="98"/>
      <c r="H8" s="26"/>
      <c r="I8" s="26"/>
      <c r="J8" s="71"/>
      <c r="K8" s="72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</row>
    <row r="9" spans="1:27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</row>
    <row r="10" spans="1:27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</row>
    <row r="11" spans="1:27" ht="15" customHeight="1" x14ac:dyDescent="0.2">
      <c r="A11" s="148" t="s">
        <v>319</v>
      </c>
      <c r="B11" s="26"/>
      <c r="C11" s="26"/>
      <c r="D11" s="42" t="s">
        <v>269</v>
      </c>
      <c r="E11" s="43" t="s">
        <v>145</v>
      </c>
      <c r="F11" s="44"/>
      <c r="G11" s="44"/>
      <c r="H11" s="136"/>
      <c r="I11" s="42" t="s">
        <v>269</v>
      </c>
      <c r="J11" s="43" t="s">
        <v>146</v>
      </c>
      <c r="K11" s="44"/>
      <c r="L11" s="44"/>
      <c r="M11" s="136"/>
      <c r="N11" s="42" t="s">
        <v>270</v>
      </c>
      <c r="O11" s="43" t="s">
        <v>268</v>
      </c>
      <c r="P11" s="44"/>
      <c r="Q11" s="44"/>
      <c r="R11" s="136"/>
      <c r="S11" s="42" t="s">
        <v>270</v>
      </c>
      <c r="T11" s="43" t="s">
        <v>146</v>
      </c>
      <c r="U11" s="44"/>
      <c r="V11" s="44"/>
      <c r="W11" s="136"/>
      <c r="X11" s="42"/>
      <c r="Y11" s="43" t="s">
        <v>147</v>
      </c>
      <c r="Z11" s="44"/>
      <c r="AA11" s="44"/>
    </row>
    <row r="12" spans="1:27" x14ac:dyDescent="0.2">
      <c r="A12" s="259" t="s">
        <v>326</v>
      </c>
      <c r="B12" s="260"/>
      <c r="C12" s="26"/>
      <c r="D12" s="35" t="s">
        <v>112</v>
      </c>
      <c r="E12" s="36"/>
      <c r="F12" s="94">
        <f>SUM(F16:F59)</f>
        <v>24</v>
      </c>
      <c r="G12" s="94">
        <f>SUM(G16:G59)</f>
        <v>1.0701006466666663</v>
      </c>
      <c r="H12" s="136"/>
      <c r="I12" s="35" t="s">
        <v>112</v>
      </c>
      <c r="J12" s="36"/>
      <c r="K12" s="37">
        <f>SUM(K16:K59)</f>
        <v>34</v>
      </c>
      <c r="L12" s="94">
        <f>SUM(L16:L59)</f>
        <v>1.1065544244444445</v>
      </c>
      <c r="M12" s="136"/>
      <c r="N12" s="35" t="s">
        <v>112</v>
      </c>
      <c r="O12" s="36"/>
      <c r="P12" s="37">
        <f>SUM(P16:P59)</f>
        <v>15</v>
      </c>
      <c r="Q12" s="94">
        <f>SUM(Q16:Q59)</f>
        <v>1.1065544244444443</v>
      </c>
      <c r="R12" s="136"/>
      <c r="S12" s="35" t="s">
        <v>112</v>
      </c>
      <c r="T12" s="36"/>
      <c r="U12" s="37">
        <f>SUM(U16:U59)</f>
        <v>34</v>
      </c>
      <c r="V12" s="94">
        <f>SUM(V16:V59)</f>
        <v>1.1065544244444445</v>
      </c>
      <c r="W12" s="136"/>
      <c r="X12" s="35" t="s">
        <v>112</v>
      </c>
      <c r="Y12" s="36"/>
      <c r="Z12" s="37">
        <f>SUM(Z16:Z59)</f>
        <v>161</v>
      </c>
      <c r="AA12" s="94">
        <f>SUM(AA16:AA59)</f>
        <v>4.38976392</v>
      </c>
    </row>
    <row r="13" spans="1:27" x14ac:dyDescent="0.2">
      <c r="A13" s="260"/>
      <c r="B13" s="260"/>
      <c r="C13" s="26"/>
      <c r="D13" s="73"/>
      <c r="E13" s="74"/>
      <c r="F13" s="75"/>
      <c r="G13" s="75"/>
      <c r="H13" s="136"/>
      <c r="I13" s="73"/>
      <c r="J13" s="74"/>
      <c r="K13" s="75"/>
      <c r="L13" s="75"/>
      <c r="M13" s="136"/>
      <c r="N13" s="73"/>
      <c r="O13" s="74"/>
      <c r="P13" s="74"/>
      <c r="Q13" s="139"/>
      <c r="R13" s="136"/>
      <c r="S13" s="73"/>
      <c r="T13" s="74"/>
      <c r="U13" s="74"/>
      <c r="V13" s="139"/>
      <c r="W13" s="136"/>
      <c r="X13" s="73"/>
      <c r="Y13" s="74"/>
      <c r="Z13" s="74"/>
      <c r="AA13" s="139"/>
    </row>
    <row r="14" spans="1:27" ht="15" customHeight="1" x14ac:dyDescent="0.2">
      <c r="A14" s="260"/>
      <c r="B14" s="260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61" t="s">
        <v>83</v>
      </c>
      <c r="J14" s="137" t="s">
        <v>16</v>
      </c>
      <c r="K14" s="138" t="s">
        <v>17</v>
      </c>
      <c r="L14" s="138" t="s">
        <v>215</v>
      </c>
      <c r="M14" s="136"/>
      <c r="N14" s="249" t="s">
        <v>83</v>
      </c>
      <c r="O14" s="38" t="s">
        <v>16</v>
      </c>
      <c r="P14" s="39" t="s">
        <v>17</v>
      </c>
      <c r="Q14" s="39" t="s">
        <v>215</v>
      </c>
      <c r="R14" s="136"/>
      <c r="S14" s="249" t="s">
        <v>83</v>
      </c>
      <c r="T14" s="38" t="s">
        <v>16</v>
      </c>
      <c r="U14" s="39" t="s">
        <v>17</v>
      </c>
      <c r="V14" s="39" t="s">
        <v>215</v>
      </c>
      <c r="W14" s="136"/>
      <c r="X14" s="249" t="s">
        <v>83</v>
      </c>
      <c r="Y14" s="38" t="s">
        <v>16</v>
      </c>
      <c r="Z14" s="39" t="s">
        <v>17</v>
      </c>
      <c r="AA14" s="39" t="s">
        <v>215</v>
      </c>
    </row>
    <row r="15" spans="1:27" ht="15" customHeight="1" x14ac:dyDescent="0.2">
      <c r="A15" s="259"/>
      <c r="B15" s="260"/>
      <c r="C15" s="26"/>
      <c r="D15" s="250"/>
      <c r="E15" s="252"/>
      <c r="F15" s="41" t="s">
        <v>18</v>
      </c>
      <c r="G15" s="41" t="s">
        <v>18</v>
      </c>
      <c r="H15" s="26"/>
      <c r="I15" s="250"/>
      <c r="J15" s="40"/>
      <c r="K15" s="41" t="s">
        <v>18</v>
      </c>
      <c r="L15" s="41" t="s">
        <v>18</v>
      </c>
      <c r="M15" s="26"/>
      <c r="N15" s="250"/>
      <c r="O15" s="40"/>
      <c r="P15" s="41" t="s">
        <v>18</v>
      </c>
      <c r="Q15" s="41" t="s">
        <v>18</v>
      </c>
      <c r="R15" s="26"/>
      <c r="S15" s="250"/>
      <c r="T15" s="40"/>
      <c r="U15" s="41" t="s">
        <v>18</v>
      </c>
      <c r="V15" s="41" t="s">
        <v>18</v>
      </c>
      <c r="W15" s="26"/>
      <c r="X15" s="250"/>
      <c r="Y15" s="40"/>
      <c r="Z15" s="41" t="s">
        <v>18</v>
      </c>
      <c r="AA15" s="41" t="s">
        <v>18</v>
      </c>
    </row>
    <row r="16" spans="1:27" x14ac:dyDescent="0.2">
      <c r="A16" s="260"/>
      <c r="B16" s="260"/>
      <c r="C16" s="26"/>
      <c r="D16" s="27">
        <v>1</v>
      </c>
      <c r="E16" s="26" t="s">
        <v>19</v>
      </c>
      <c r="F16" s="28">
        <v>1</v>
      </c>
      <c r="G16" s="64"/>
      <c r="H16" s="26"/>
      <c r="I16" s="27">
        <v>1</v>
      </c>
      <c r="J16" s="26" t="s">
        <v>30</v>
      </c>
      <c r="K16" s="28">
        <v>6</v>
      </c>
      <c r="L16" s="28"/>
      <c r="M16" s="26"/>
      <c r="N16" s="27">
        <v>1</v>
      </c>
      <c r="O16" s="26" t="s">
        <v>19</v>
      </c>
      <c r="P16" s="28">
        <v>1</v>
      </c>
      <c r="Q16" s="64"/>
      <c r="R16" s="26"/>
      <c r="S16" s="27">
        <v>1</v>
      </c>
      <c r="T16" s="26" t="s">
        <v>30</v>
      </c>
      <c r="U16" s="28">
        <v>6</v>
      </c>
      <c r="V16" s="64"/>
      <c r="W16" s="26"/>
      <c r="X16" s="27">
        <v>1</v>
      </c>
      <c r="Y16" s="26" t="s">
        <v>271</v>
      </c>
      <c r="Z16" s="140">
        <f>F$12</f>
        <v>24</v>
      </c>
      <c r="AA16" s="64">
        <f>$G$12</f>
        <v>1.0701006466666663</v>
      </c>
    </row>
    <row r="17" spans="1:27" x14ac:dyDescent="0.2">
      <c r="A17" s="260"/>
      <c r="B17" s="260"/>
      <c r="C17" s="26"/>
      <c r="D17" s="27">
        <v>2</v>
      </c>
      <c r="E17" s="26" t="s">
        <v>20</v>
      </c>
      <c r="F17" s="28">
        <v>2</v>
      </c>
      <c r="G17" s="64">
        <f>'Unit Cell Details'!$F$46</f>
        <v>0.56239065666666666</v>
      </c>
      <c r="H17" s="26"/>
      <c r="I17" s="27">
        <v>2</v>
      </c>
      <c r="J17" s="26" t="s">
        <v>30</v>
      </c>
      <c r="K17" s="28">
        <v>6</v>
      </c>
      <c r="L17" s="28"/>
      <c r="M17" s="26"/>
      <c r="N17" s="27">
        <v>2</v>
      </c>
      <c r="O17" s="26" t="s">
        <v>20</v>
      </c>
      <c r="P17" s="28">
        <v>2</v>
      </c>
      <c r="Q17" s="64">
        <f>'Unit Cell Details'!$F$46</f>
        <v>0.56239065666666666</v>
      </c>
      <c r="R17" s="26"/>
      <c r="S17" s="27">
        <v>2</v>
      </c>
      <c r="T17" s="26" t="s">
        <v>30</v>
      </c>
      <c r="U17" s="28">
        <v>6</v>
      </c>
      <c r="V17" s="28"/>
      <c r="W17" s="26"/>
      <c r="X17" s="27">
        <v>2</v>
      </c>
      <c r="Y17" s="26" t="s">
        <v>35</v>
      </c>
      <c r="Z17" s="28">
        <v>18</v>
      </c>
      <c r="AA17" s="28"/>
    </row>
    <row r="18" spans="1:27" x14ac:dyDescent="0.2">
      <c r="A18" s="259"/>
      <c r="B18" s="260"/>
      <c r="C18" s="26"/>
      <c r="D18" s="27">
        <v>3</v>
      </c>
      <c r="E18" s="26" t="s">
        <v>21</v>
      </c>
      <c r="F18" s="28">
        <v>2</v>
      </c>
      <c r="G18" s="64">
        <f>'Unit Cell Details'!$F$46</f>
        <v>0.56239065666666666</v>
      </c>
      <c r="H18" s="26"/>
      <c r="I18" s="27">
        <v>3</v>
      </c>
      <c r="J18" s="26" t="s">
        <v>31</v>
      </c>
      <c r="K18" s="28">
        <v>6</v>
      </c>
      <c r="L18" s="28"/>
      <c r="M18" s="26"/>
      <c r="N18" s="27">
        <v>3</v>
      </c>
      <c r="O18" s="26" t="s">
        <v>21</v>
      </c>
      <c r="P18" s="28">
        <v>2</v>
      </c>
      <c r="Q18" s="64">
        <f>'Unit Cell Details'!$F$46</f>
        <v>0.56239065666666666</v>
      </c>
      <c r="R18" s="26"/>
      <c r="S18" s="27">
        <v>3</v>
      </c>
      <c r="T18" s="26" t="s">
        <v>31</v>
      </c>
      <c r="U18" s="28">
        <v>6</v>
      </c>
      <c r="V18" s="64"/>
      <c r="W18" s="26"/>
      <c r="X18" s="27">
        <v>3</v>
      </c>
      <c r="Y18" s="26" t="s">
        <v>310</v>
      </c>
      <c r="Z18" s="28">
        <f>K12</f>
        <v>34</v>
      </c>
      <c r="AA18" s="64">
        <f>L12</f>
        <v>1.1065544244444445</v>
      </c>
    </row>
    <row r="19" spans="1:27" x14ac:dyDescent="0.2">
      <c r="A19" s="260"/>
      <c r="B19" s="260"/>
      <c r="C19" s="26"/>
      <c r="D19" s="27">
        <v>4</v>
      </c>
      <c r="E19" s="26" t="s">
        <v>23</v>
      </c>
      <c r="F19" s="28">
        <v>1.5</v>
      </c>
      <c r="G19" s="64">
        <f>'Unit Cell Details'!$F$49</f>
        <v>-9.1134444444444448E-3</v>
      </c>
      <c r="H19" s="26"/>
      <c r="I19" s="27">
        <v>4</v>
      </c>
      <c r="J19" s="26" t="s">
        <v>32</v>
      </c>
      <c r="K19" s="28">
        <v>8</v>
      </c>
      <c r="L19" s="64">
        <f>'Unit Cell Details'!$F$46+'Unit Cell Details'!$F$49</f>
        <v>0.55327721222222226</v>
      </c>
      <c r="M19" s="26"/>
      <c r="N19" s="27">
        <v>4</v>
      </c>
      <c r="O19" s="26" t="s">
        <v>23</v>
      </c>
      <c r="P19" s="28">
        <v>1.5</v>
      </c>
      <c r="Q19" s="64">
        <f>'Unit Cell Details'!$F$49</f>
        <v>-9.1134444444444448E-3</v>
      </c>
      <c r="R19" s="26"/>
      <c r="S19" s="27">
        <v>4</v>
      </c>
      <c r="T19" s="26" t="s">
        <v>32</v>
      </c>
      <c r="U19" s="28">
        <v>8</v>
      </c>
      <c r="V19" s="64">
        <f>'Unit Cell Details'!$F$46+'Unit Cell Details'!$F$49</f>
        <v>0.55327721222222226</v>
      </c>
      <c r="W19" s="26"/>
      <c r="X19" s="27">
        <v>4</v>
      </c>
      <c r="Y19" s="26" t="s">
        <v>143</v>
      </c>
      <c r="Z19" s="28">
        <v>18</v>
      </c>
      <c r="AA19" s="28"/>
    </row>
    <row r="20" spans="1:27" x14ac:dyDescent="0.2">
      <c r="A20" s="260"/>
      <c r="B20" s="260"/>
      <c r="C20" s="26"/>
      <c r="D20" s="27">
        <v>5</v>
      </c>
      <c r="E20" s="26" t="s">
        <v>23</v>
      </c>
      <c r="F20" s="28">
        <v>1.5</v>
      </c>
      <c r="G20" s="64">
        <f>'Unit Cell Details'!$F$49</f>
        <v>-9.1134444444444448E-3</v>
      </c>
      <c r="H20" s="26"/>
      <c r="I20" s="27">
        <v>5</v>
      </c>
      <c r="J20" s="26" t="s">
        <v>33</v>
      </c>
      <c r="K20" s="28">
        <v>8</v>
      </c>
      <c r="L20" s="64">
        <f>'Unit Cell Details'!$F$46+'Unit Cell Details'!$F$49</f>
        <v>0.55327721222222226</v>
      </c>
      <c r="M20" s="26"/>
      <c r="N20" s="27">
        <v>5</v>
      </c>
      <c r="O20" s="26" t="s">
        <v>23</v>
      </c>
      <c r="P20" s="28">
        <v>1.5</v>
      </c>
      <c r="Q20" s="64">
        <f>'Unit Cell Details'!$F$49</f>
        <v>-9.1134444444444448E-3</v>
      </c>
      <c r="R20" s="26"/>
      <c r="S20" s="27">
        <v>5</v>
      </c>
      <c r="T20" s="26" t="s">
        <v>33</v>
      </c>
      <c r="U20" s="28">
        <v>8</v>
      </c>
      <c r="V20" s="64">
        <f>'Unit Cell Details'!$F$46+'Unit Cell Details'!$F$49</f>
        <v>0.55327721222222226</v>
      </c>
      <c r="W20" s="26"/>
      <c r="X20" s="27">
        <v>5</v>
      </c>
      <c r="Y20" s="26" t="s">
        <v>273</v>
      </c>
      <c r="Z20" s="140">
        <f>P12</f>
        <v>15</v>
      </c>
      <c r="AA20" s="64">
        <f>Q12</f>
        <v>1.1065544244444443</v>
      </c>
    </row>
    <row r="21" spans="1:27" x14ac:dyDescent="0.2">
      <c r="A21" s="26"/>
      <c r="B21" s="26"/>
      <c r="C21" s="26"/>
      <c r="D21" s="27">
        <v>6</v>
      </c>
      <c r="E21" s="26" t="s">
        <v>23</v>
      </c>
      <c r="F21" s="28">
        <v>1.5</v>
      </c>
      <c r="G21" s="64">
        <f>'Unit Cell Details'!$F$49</f>
        <v>-9.1134444444444448E-3</v>
      </c>
      <c r="H21" s="26"/>
      <c r="I21" s="27"/>
      <c r="J21" s="26"/>
      <c r="K21" s="28"/>
      <c r="L21" s="64"/>
      <c r="M21" s="26"/>
      <c r="N21" s="27">
        <v>6</v>
      </c>
      <c r="O21" s="26" t="s">
        <v>24</v>
      </c>
      <c r="P21" s="28">
        <v>1</v>
      </c>
      <c r="Q21" s="64"/>
      <c r="R21" s="26"/>
      <c r="S21" s="27"/>
      <c r="T21" s="26"/>
      <c r="U21" s="28"/>
      <c r="V21" s="64"/>
      <c r="W21" s="26"/>
      <c r="X21" s="27">
        <v>6</v>
      </c>
      <c r="Y21" s="26" t="s">
        <v>35</v>
      </c>
      <c r="Z21" s="28">
        <v>18</v>
      </c>
      <c r="AA21" s="28"/>
    </row>
    <row r="22" spans="1:27" x14ac:dyDescent="0.2">
      <c r="A22" s="26"/>
      <c r="B22" s="26"/>
      <c r="C22" s="26"/>
      <c r="D22" s="27">
        <v>7</v>
      </c>
      <c r="E22" s="26" t="s">
        <v>23</v>
      </c>
      <c r="F22" s="28">
        <v>1.5</v>
      </c>
      <c r="G22" s="64">
        <f>'Unit Cell Details'!$F$49</f>
        <v>-9.1134444444444448E-3</v>
      </c>
      <c r="H22" s="26"/>
      <c r="I22" s="27"/>
      <c r="J22" s="26"/>
      <c r="K22" s="28"/>
      <c r="L22" s="64"/>
      <c r="M22" s="26"/>
      <c r="N22" s="27">
        <v>7</v>
      </c>
      <c r="O22" s="26" t="s">
        <v>24</v>
      </c>
      <c r="P22" s="28">
        <v>1</v>
      </c>
      <c r="Q22" s="64"/>
      <c r="R22" s="26"/>
      <c r="S22" s="27"/>
      <c r="T22" s="26"/>
      <c r="U22" s="28"/>
      <c r="V22" s="64"/>
      <c r="W22" s="26"/>
      <c r="X22" s="27">
        <v>7</v>
      </c>
      <c r="Y22" s="26" t="s">
        <v>310</v>
      </c>
      <c r="Z22" s="140">
        <f>U12</f>
        <v>34</v>
      </c>
      <c r="AA22" s="64">
        <f>V12</f>
        <v>1.1065544244444445</v>
      </c>
    </row>
    <row r="23" spans="1:27" x14ac:dyDescent="0.2">
      <c r="A23" s="26"/>
      <c r="B23" s="26"/>
      <c r="C23" s="26"/>
      <c r="D23" s="27">
        <v>8</v>
      </c>
      <c r="E23" s="26" t="s">
        <v>23</v>
      </c>
      <c r="F23" s="28">
        <v>1.5</v>
      </c>
      <c r="G23" s="64">
        <f>'Unit Cell Details'!$F$49</f>
        <v>-9.1134444444444448E-3</v>
      </c>
      <c r="H23" s="26"/>
      <c r="I23" s="27"/>
      <c r="J23" s="26"/>
      <c r="K23" s="28"/>
      <c r="L23" s="64"/>
      <c r="M23" s="26"/>
      <c r="N23" s="27">
        <v>8</v>
      </c>
      <c r="O23" s="26" t="s">
        <v>25</v>
      </c>
      <c r="P23" s="28">
        <v>2</v>
      </c>
      <c r="Q23" s="64"/>
      <c r="R23" s="26"/>
      <c r="S23" s="27"/>
      <c r="T23" s="26"/>
      <c r="U23" s="28"/>
      <c r="V23" s="28"/>
      <c r="W23" s="26"/>
      <c r="X23" s="27"/>
      <c r="Y23" s="26"/>
      <c r="Z23" s="28"/>
      <c r="AA23" s="28"/>
    </row>
    <row r="24" spans="1:27" x14ac:dyDescent="0.2">
      <c r="A24" s="26"/>
      <c r="B24" s="26"/>
      <c r="C24" s="26"/>
      <c r="D24" s="27">
        <v>9</v>
      </c>
      <c r="E24" s="26" t="s">
        <v>23</v>
      </c>
      <c r="F24" s="28">
        <v>1.5</v>
      </c>
      <c r="G24" s="64">
        <f>'Unit Cell Details'!$F$49</f>
        <v>-9.1134444444444448E-3</v>
      </c>
      <c r="H24" s="26"/>
      <c r="I24" s="27"/>
      <c r="J24" s="26"/>
      <c r="K24" s="28"/>
      <c r="L24" s="28"/>
      <c r="M24" s="26"/>
      <c r="N24" s="27">
        <v>9</v>
      </c>
      <c r="O24" s="26" t="s">
        <v>26</v>
      </c>
      <c r="P24" s="28">
        <v>3</v>
      </c>
      <c r="Q24" s="64"/>
      <c r="R24" s="26"/>
      <c r="S24" s="27"/>
      <c r="T24" s="26"/>
      <c r="U24" s="28"/>
      <c r="V24" s="64"/>
      <c r="W24" s="26"/>
      <c r="X24" s="27"/>
      <c r="Y24" s="26" t="s">
        <v>148</v>
      </c>
      <c r="Z24" s="28"/>
      <c r="AA24" s="64"/>
    </row>
    <row r="25" spans="1:27" x14ac:dyDescent="0.2">
      <c r="A25" s="26"/>
      <c r="B25" s="26"/>
      <c r="C25" s="26"/>
      <c r="D25" s="27">
        <v>10</v>
      </c>
      <c r="E25" s="26" t="s">
        <v>24</v>
      </c>
      <c r="F25" s="28">
        <v>1</v>
      </c>
      <c r="G25" s="64"/>
      <c r="H25" s="26"/>
      <c r="I25" s="27"/>
      <c r="J25" s="26"/>
      <c r="K25" s="28"/>
      <c r="L25" s="28"/>
      <c r="M25" s="26"/>
      <c r="N25" s="27"/>
      <c r="O25" s="26"/>
      <c r="P25" s="28"/>
      <c r="Q25" s="64"/>
      <c r="R25" s="26"/>
      <c r="S25" s="27"/>
      <c r="T25" s="26"/>
      <c r="U25" s="28"/>
      <c r="V25" s="28"/>
      <c r="W25" s="26"/>
      <c r="X25" s="27"/>
      <c r="Y25" s="26"/>
      <c r="Z25" s="28"/>
      <c r="AA25" s="64"/>
    </row>
    <row r="26" spans="1:27" x14ac:dyDescent="0.2">
      <c r="A26" s="26"/>
      <c r="B26" s="26"/>
      <c r="C26" s="26"/>
      <c r="D26" s="27">
        <v>11</v>
      </c>
      <c r="E26" s="26" t="s">
        <v>24</v>
      </c>
      <c r="F26" s="28">
        <v>1</v>
      </c>
      <c r="G26" s="64"/>
      <c r="H26" s="26"/>
      <c r="I26" s="27"/>
      <c r="J26" s="26"/>
      <c r="K26" s="28"/>
      <c r="L26" s="28"/>
      <c r="M26" s="26"/>
      <c r="N26" s="27"/>
      <c r="O26" s="26"/>
      <c r="P26" s="28"/>
      <c r="Q26" s="64"/>
      <c r="R26" s="26"/>
      <c r="S26" s="27"/>
      <c r="T26" s="26"/>
      <c r="U26" s="28"/>
      <c r="V26" s="64"/>
      <c r="W26" s="26"/>
      <c r="X26" s="27"/>
      <c r="Y26" s="26"/>
      <c r="Z26" s="28"/>
      <c r="AA26" s="64"/>
    </row>
    <row r="27" spans="1:27" x14ac:dyDescent="0.2">
      <c r="A27" s="26"/>
      <c r="B27" s="26"/>
      <c r="C27" s="26"/>
      <c r="D27" s="27">
        <v>12</v>
      </c>
      <c r="E27" s="26" t="s">
        <v>25</v>
      </c>
      <c r="F27" s="28">
        <v>3</v>
      </c>
      <c r="G27" s="64"/>
      <c r="H27" s="26"/>
      <c r="I27" s="27"/>
      <c r="J27" s="26"/>
      <c r="K27" s="28"/>
      <c r="L27" s="28"/>
      <c r="M27" s="26"/>
      <c r="N27" s="27"/>
      <c r="O27" s="26"/>
      <c r="P27" s="28"/>
      <c r="Q27" s="64"/>
      <c r="R27" s="26"/>
      <c r="S27" s="27"/>
      <c r="T27" s="26"/>
      <c r="U27" s="28"/>
      <c r="V27" s="28"/>
      <c r="W27" s="26"/>
      <c r="X27" s="27"/>
      <c r="Y27" s="26"/>
      <c r="Z27" s="28"/>
      <c r="AA27" s="64"/>
    </row>
    <row r="28" spans="1:27" x14ac:dyDescent="0.2">
      <c r="A28" s="26"/>
      <c r="B28" s="26"/>
      <c r="C28" s="26"/>
      <c r="D28" s="27">
        <v>13</v>
      </c>
      <c r="E28" s="26" t="s">
        <v>26</v>
      </c>
      <c r="F28" s="28">
        <v>5</v>
      </c>
      <c r="G28" s="64"/>
      <c r="H28" s="26"/>
      <c r="I28" s="27"/>
      <c r="J28" s="26"/>
      <c r="K28" s="28"/>
      <c r="L28" s="28"/>
      <c r="M28" s="26"/>
      <c r="N28" s="27"/>
      <c r="O28" s="26"/>
      <c r="P28" s="28"/>
      <c r="Q28" s="64"/>
      <c r="R28" s="26"/>
      <c r="S28" s="27"/>
      <c r="T28" s="26"/>
      <c r="U28" s="28"/>
      <c r="V28" s="64"/>
      <c r="W28" s="26"/>
      <c r="X28" s="27"/>
      <c r="Y28" s="26"/>
      <c r="Z28" s="28"/>
      <c r="AA28" s="64"/>
    </row>
    <row r="29" spans="1:27" x14ac:dyDescent="0.2">
      <c r="A29" s="26"/>
      <c r="B29" s="26"/>
      <c r="C29" s="26"/>
      <c r="D29" s="27"/>
      <c r="E29" s="26"/>
      <c r="F29" s="28"/>
      <c r="G29" s="28"/>
      <c r="H29" s="26"/>
      <c r="I29" s="27"/>
      <c r="J29" s="26"/>
      <c r="K29" s="28"/>
      <c r="L29" s="28"/>
      <c r="M29" s="26"/>
      <c r="N29" s="27"/>
      <c r="O29" s="26"/>
      <c r="P29" s="28"/>
      <c r="Q29" s="28"/>
      <c r="R29" s="26"/>
      <c r="S29" s="27"/>
      <c r="T29" s="26"/>
      <c r="U29" s="28"/>
      <c r="V29" s="28"/>
      <c r="W29" s="26"/>
      <c r="X29" s="27"/>
      <c r="Y29" s="26"/>
      <c r="Z29" s="28"/>
      <c r="AA29" s="28"/>
    </row>
    <row r="30" spans="1:27" x14ac:dyDescent="0.2">
      <c r="A30" s="26"/>
      <c r="B30" s="26"/>
      <c r="C30" s="26"/>
      <c r="D30" s="27"/>
      <c r="E30" s="26"/>
      <c r="F30" s="28"/>
      <c r="G30" s="28"/>
      <c r="H30" s="26"/>
      <c r="I30" s="27"/>
      <c r="J30" s="26"/>
      <c r="K30" s="28"/>
      <c r="L30" s="28"/>
      <c r="M30" s="26"/>
      <c r="N30" s="27"/>
      <c r="O30" s="26"/>
      <c r="P30" s="28"/>
      <c r="Q30" s="64"/>
      <c r="R30" s="26"/>
      <c r="S30" s="27"/>
      <c r="T30" s="26"/>
      <c r="U30" s="28"/>
      <c r="V30" s="64"/>
      <c r="W30" s="26"/>
      <c r="X30" s="27"/>
      <c r="Y30" s="26"/>
      <c r="Z30" s="28"/>
      <c r="AA30" s="64"/>
    </row>
    <row r="31" spans="1:27" x14ac:dyDescent="0.2">
      <c r="A31" s="26"/>
      <c r="B31" s="26"/>
      <c r="C31" s="26"/>
      <c r="D31" s="27"/>
      <c r="E31" s="26"/>
      <c r="F31" s="28"/>
      <c r="G31" s="28"/>
      <c r="H31" s="26"/>
      <c r="I31" s="27"/>
      <c r="J31" s="26"/>
      <c r="K31" s="28"/>
      <c r="L31" s="28"/>
      <c r="M31" s="26"/>
      <c r="N31" s="27"/>
      <c r="O31" s="26"/>
      <c r="P31" s="28"/>
      <c r="Q31" s="28"/>
      <c r="R31" s="26"/>
      <c r="S31" s="27"/>
      <c r="T31" s="26"/>
      <c r="U31" s="28"/>
      <c r="V31" s="28"/>
      <c r="W31" s="26"/>
      <c r="X31" s="27"/>
      <c r="Y31" s="26"/>
      <c r="Z31" s="28"/>
      <c r="AA31" s="28"/>
    </row>
    <row r="32" spans="1:27" x14ac:dyDescent="0.2">
      <c r="A32" s="26"/>
      <c r="B32" s="26"/>
      <c r="C32" s="26"/>
      <c r="D32" s="27"/>
      <c r="E32" s="26"/>
      <c r="F32" s="28"/>
      <c r="G32" s="28"/>
      <c r="H32" s="26"/>
      <c r="I32" s="27"/>
      <c r="J32" s="26"/>
      <c r="K32" s="28"/>
      <c r="L32" s="28"/>
      <c r="M32" s="26"/>
      <c r="N32" s="27"/>
      <c r="O32" s="26"/>
      <c r="P32" s="28"/>
      <c r="Q32" s="28"/>
      <c r="R32" s="26"/>
      <c r="S32" s="27"/>
      <c r="T32" s="26"/>
      <c r="U32" s="28"/>
      <c r="V32" s="28"/>
      <c r="W32" s="26"/>
      <c r="X32" s="27"/>
      <c r="Y32" s="26"/>
      <c r="Z32" s="28"/>
      <c r="AA32" s="28"/>
    </row>
    <row r="33" spans="1:27" x14ac:dyDescent="0.2">
      <c r="A33" s="26"/>
      <c r="B33" s="26"/>
      <c r="C33" s="26"/>
      <c r="D33" s="27"/>
      <c r="E33" s="26"/>
      <c r="F33" s="28"/>
      <c r="G33" s="28"/>
      <c r="H33" s="26"/>
      <c r="I33" s="27"/>
      <c r="J33" s="26"/>
      <c r="K33" s="28"/>
      <c r="L33" s="28"/>
      <c r="M33" s="26"/>
      <c r="N33" s="27"/>
      <c r="O33" s="26"/>
      <c r="P33" s="28"/>
      <c r="Q33" s="28"/>
      <c r="R33" s="26"/>
      <c r="S33" s="27"/>
      <c r="T33" s="26"/>
      <c r="U33" s="28"/>
      <c r="V33" s="28"/>
      <c r="W33" s="26"/>
      <c r="X33" s="27"/>
      <c r="Y33" s="26"/>
      <c r="Z33" s="28"/>
      <c r="AA33" s="28"/>
    </row>
    <row r="34" spans="1:27" x14ac:dyDescent="0.2">
      <c r="A34" s="26"/>
      <c r="B34" s="26"/>
      <c r="C34" s="26"/>
      <c r="D34" s="27"/>
      <c r="E34" s="26"/>
      <c r="F34" s="28"/>
      <c r="G34" s="28"/>
      <c r="H34" s="26"/>
      <c r="I34" s="27"/>
      <c r="J34" s="26"/>
      <c r="K34" s="28"/>
      <c r="L34" s="28"/>
      <c r="M34" s="26"/>
      <c r="N34" s="27"/>
      <c r="O34" s="26"/>
      <c r="P34" s="28"/>
      <c r="Q34" s="28"/>
      <c r="R34" s="26"/>
      <c r="S34" s="27"/>
      <c r="T34" s="26"/>
      <c r="U34" s="28"/>
      <c r="V34" s="28"/>
      <c r="W34" s="26"/>
      <c r="X34" s="27"/>
      <c r="Y34" s="26"/>
      <c r="Z34" s="28"/>
      <c r="AA34" s="28"/>
    </row>
    <row r="35" spans="1:27" x14ac:dyDescent="0.2">
      <c r="A35" s="26"/>
      <c r="B35" s="26"/>
      <c r="C35" s="26"/>
      <c r="D35" s="27"/>
      <c r="E35" s="26"/>
      <c r="F35" s="28"/>
      <c r="G35" s="28"/>
      <c r="H35" s="26"/>
      <c r="I35" s="27"/>
      <c r="J35" s="26"/>
      <c r="K35" s="28"/>
      <c r="L35" s="28"/>
      <c r="M35" s="26"/>
      <c r="N35" s="27"/>
      <c r="O35" s="26"/>
      <c r="P35" s="28"/>
      <c r="Q35" s="28"/>
      <c r="R35" s="26"/>
      <c r="S35" s="27"/>
      <c r="T35" s="26"/>
      <c r="U35" s="28"/>
      <c r="V35" s="28"/>
      <c r="W35" s="26"/>
      <c r="X35" s="27"/>
      <c r="Y35" s="26"/>
      <c r="Z35" s="28"/>
      <c r="AA35" s="28"/>
    </row>
    <row r="36" spans="1:27" x14ac:dyDescent="0.2">
      <c r="A36" s="26"/>
      <c r="B36" s="26"/>
      <c r="C36" s="26"/>
      <c r="D36" s="27"/>
      <c r="E36" s="26"/>
      <c r="F36" s="28"/>
      <c r="G36" s="28"/>
      <c r="H36" s="26"/>
      <c r="I36" s="27"/>
      <c r="J36" s="26"/>
      <c r="K36" s="28"/>
      <c r="L36" s="28"/>
      <c r="M36" s="26"/>
      <c r="N36" s="27"/>
      <c r="O36" s="26"/>
      <c r="P36" s="28"/>
      <c r="Q36" s="28"/>
      <c r="R36" s="26"/>
      <c r="S36" s="27"/>
      <c r="T36" s="26"/>
      <c r="U36" s="28"/>
      <c r="V36" s="28"/>
      <c r="W36" s="26"/>
      <c r="X36" s="27"/>
      <c r="Y36" s="26"/>
      <c r="Z36" s="28"/>
      <c r="AA36" s="28"/>
    </row>
    <row r="37" spans="1:27" x14ac:dyDescent="0.2">
      <c r="A37" s="26"/>
      <c r="B37" s="26"/>
      <c r="C37" s="26"/>
      <c r="D37" s="27"/>
      <c r="E37" s="26"/>
      <c r="F37" s="28"/>
      <c r="G37" s="28"/>
      <c r="H37" s="26"/>
      <c r="I37" s="27"/>
      <c r="J37" s="26"/>
      <c r="K37" s="28"/>
      <c r="L37" s="28"/>
      <c r="M37" s="26"/>
      <c r="N37" s="27"/>
      <c r="O37" s="26"/>
      <c r="P37" s="28"/>
      <c r="Q37" s="28"/>
      <c r="R37" s="26"/>
      <c r="S37" s="27"/>
      <c r="T37" s="26"/>
      <c r="U37" s="28"/>
      <c r="V37" s="28"/>
      <c r="W37" s="26"/>
      <c r="X37" s="27"/>
      <c r="Y37" s="26"/>
      <c r="Z37" s="28"/>
      <c r="AA37" s="28"/>
    </row>
    <row r="38" spans="1:27" x14ac:dyDescent="0.2">
      <c r="A38" s="26"/>
      <c r="B38" s="26"/>
      <c r="C38" s="26"/>
      <c r="D38" s="27"/>
      <c r="E38" s="26"/>
      <c r="F38" s="28"/>
      <c r="G38" s="28"/>
      <c r="H38" s="26"/>
      <c r="I38" s="27"/>
      <c r="J38" s="26"/>
      <c r="K38" s="28"/>
      <c r="L38" s="28"/>
      <c r="M38" s="26"/>
      <c r="N38" s="27"/>
      <c r="O38" s="26"/>
      <c r="P38" s="28"/>
      <c r="Q38" s="28"/>
      <c r="R38" s="26"/>
      <c r="S38" s="27"/>
      <c r="T38" s="26"/>
      <c r="U38" s="28"/>
      <c r="V38" s="28"/>
      <c r="W38" s="26"/>
      <c r="X38" s="27"/>
      <c r="Y38" s="26"/>
      <c r="Z38" s="28"/>
      <c r="AA38" s="28"/>
    </row>
    <row r="39" spans="1:27" x14ac:dyDescent="0.2">
      <c r="A39" s="26"/>
      <c r="B39" s="26"/>
      <c r="C39" s="26"/>
      <c r="D39" s="27"/>
      <c r="E39" s="26"/>
      <c r="F39" s="28"/>
      <c r="G39" s="28"/>
      <c r="H39" s="26"/>
      <c r="I39" s="27"/>
      <c r="J39" s="26"/>
      <c r="K39" s="28"/>
      <c r="L39" s="28"/>
      <c r="M39" s="26"/>
      <c r="N39" s="27"/>
      <c r="O39" s="26"/>
      <c r="P39" s="28"/>
      <c r="Q39" s="28"/>
      <c r="R39" s="26"/>
      <c r="S39" s="27"/>
      <c r="T39" s="26"/>
      <c r="U39" s="28"/>
      <c r="V39" s="28"/>
      <c r="W39" s="26"/>
      <c r="X39" s="27"/>
      <c r="Y39" s="26"/>
      <c r="Z39" s="28"/>
      <c r="AA39" s="28"/>
    </row>
    <row r="40" spans="1:27" x14ac:dyDescent="0.2">
      <c r="A40" s="26"/>
      <c r="B40" s="26"/>
      <c r="C40" s="26"/>
      <c r="D40" s="27"/>
      <c r="E40" s="26"/>
      <c r="F40" s="28"/>
      <c r="G40" s="28"/>
      <c r="H40" s="26"/>
      <c r="I40" s="27"/>
      <c r="J40" s="26"/>
      <c r="K40" s="28"/>
      <c r="L40" s="28"/>
      <c r="M40" s="26"/>
      <c r="N40" s="27"/>
      <c r="O40" s="26"/>
      <c r="P40" s="28"/>
      <c r="Q40" s="28"/>
      <c r="R40" s="26"/>
      <c r="S40" s="27"/>
      <c r="T40" s="26"/>
      <c r="U40" s="28"/>
      <c r="V40" s="28"/>
      <c r="W40" s="26"/>
      <c r="X40" s="27"/>
      <c r="Y40" s="26"/>
      <c r="Z40" s="28"/>
      <c r="AA40" s="28"/>
    </row>
    <row r="41" spans="1:27" x14ac:dyDescent="0.2">
      <c r="A41" s="26"/>
      <c r="B41" s="26"/>
      <c r="C41" s="26"/>
      <c r="D41" s="27"/>
      <c r="E41" s="26"/>
      <c r="F41" s="28"/>
      <c r="G41" s="28"/>
      <c r="H41" s="26"/>
      <c r="I41" s="27"/>
      <c r="J41" s="26"/>
      <c r="K41" s="28"/>
      <c r="L41" s="28"/>
      <c r="M41" s="26"/>
      <c r="N41" s="27"/>
      <c r="O41" s="26"/>
      <c r="P41" s="28"/>
      <c r="Q41" s="28"/>
      <c r="R41" s="26"/>
      <c r="S41" s="27"/>
      <c r="T41" s="26"/>
      <c r="U41" s="28"/>
      <c r="V41" s="28"/>
      <c r="W41" s="26"/>
      <c r="X41" s="27"/>
      <c r="Y41" s="26"/>
      <c r="Z41" s="28"/>
      <c r="AA41" s="28"/>
    </row>
    <row r="42" spans="1:27" x14ac:dyDescent="0.2">
      <c r="A42" s="26"/>
      <c r="B42" s="26"/>
      <c r="C42" s="26"/>
      <c r="D42" s="27"/>
      <c r="E42" s="26"/>
      <c r="F42" s="28"/>
      <c r="G42" s="28"/>
      <c r="H42" s="26"/>
      <c r="I42" s="27"/>
      <c r="J42" s="26"/>
      <c r="K42" s="28"/>
      <c r="L42" s="28"/>
      <c r="M42" s="26"/>
      <c r="N42" s="27"/>
      <c r="O42" s="26"/>
      <c r="P42" s="28"/>
      <c r="Q42" s="28"/>
      <c r="R42" s="26"/>
      <c r="S42" s="27"/>
      <c r="T42" s="26"/>
      <c r="U42" s="28"/>
      <c r="V42" s="28"/>
      <c r="W42" s="26"/>
      <c r="X42" s="27"/>
      <c r="Y42" s="26"/>
      <c r="Z42" s="28"/>
      <c r="AA42" s="28"/>
    </row>
    <row r="43" spans="1:27" x14ac:dyDescent="0.2">
      <c r="A43" s="26"/>
      <c r="B43" s="26"/>
      <c r="C43" s="26"/>
      <c r="D43" s="27"/>
      <c r="E43" s="26"/>
      <c r="F43" s="28"/>
      <c r="G43" s="28"/>
      <c r="H43" s="26"/>
      <c r="I43" s="27"/>
      <c r="J43" s="26"/>
      <c r="K43" s="28"/>
      <c r="L43" s="28"/>
      <c r="M43" s="26"/>
      <c r="N43" s="27"/>
      <c r="O43" s="26"/>
      <c r="P43" s="28"/>
      <c r="Q43" s="28"/>
      <c r="R43" s="26"/>
      <c r="S43" s="27"/>
      <c r="T43" s="26"/>
      <c r="U43" s="28"/>
      <c r="V43" s="28"/>
      <c r="W43" s="26"/>
      <c r="X43" s="27"/>
      <c r="Y43" s="26"/>
      <c r="Z43" s="28"/>
      <c r="AA43" s="28"/>
    </row>
    <row r="44" spans="1:27" x14ac:dyDescent="0.2">
      <c r="A44" s="26"/>
      <c r="B44" s="26"/>
      <c r="C44" s="26"/>
      <c r="D44" s="27"/>
      <c r="E44" s="26"/>
      <c r="F44" s="28"/>
      <c r="G44" s="28"/>
      <c r="H44" s="26"/>
      <c r="I44" s="27"/>
      <c r="J44" s="26"/>
      <c r="K44" s="28"/>
      <c r="L44" s="28"/>
      <c r="M44" s="26"/>
      <c r="N44" s="27"/>
      <c r="O44" s="26"/>
      <c r="P44" s="28"/>
      <c r="Q44" s="28"/>
      <c r="R44" s="26"/>
      <c r="S44" s="27"/>
      <c r="T44" s="26"/>
      <c r="U44" s="28"/>
      <c r="V44" s="28"/>
      <c r="W44" s="26"/>
      <c r="X44" s="27"/>
      <c r="Y44" s="26"/>
      <c r="Z44" s="28"/>
      <c r="AA44" s="28"/>
    </row>
    <row r="45" spans="1:27" x14ac:dyDescent="0.2">
      <c r="A45" s="26"/>
      <c r="B45" s="26"/>
      <c r="C45" s="26"/>
      <c r="D45" s="27"/>
      <c r="E45" s="26"/>
      <c r="F45" s="28"/>
      <c r="G45" s="28"/>
      <c r="H45" s="26"/>
      <c r="I45" s="27"/>
      <c r="J45" s="26"/>
      <c r="K45" s="28"/>
      <c r="L45" s="28"/>
      <c r="M45" s="26"/>
      <c r="N45" s="27"/>
      <c r="O45" s="26"/>
      <c r="P45" s="28"/>
      <c r="Q45" s="28"/>
      <c r="R45" s="26"/>
      <c r="S45" s="27"/>
      <c r="T45" s="26"/>
      <c r="U45" s="28"/>
      <c r="V45" s="28"/>
      <c r="W45" s="26"/>
      <c r="X45" s="27"/>
      <c r="Y45" s="26"/>
      <c r="Z45" s="28"/>
      <c r="AA45" s="28"/>
    </row>
    <row r="46" spans="1:27" x14ac:dyDescent="0.2">
      <c r="A46" s="26"/>
      <c r="B46" s="26"/>
      <c r="C46" s="26"/>
      <c r="D46" s="27"/>
      <c r="E46" s="26"/>
      <c r="F46" s="28"/>
      <c r="G46" s="28"/>
      <c r="H46" s="26"/>
      <c r="I46" s="27"/>
      <c r="J46" s="26"/>
      <c r="K46" s="28"/>
      <c r="L46" s="28"/>
      <c r="M46" s="26"/>
      <c r="N46" s="27"/>
      <c r="O46" s="26"/>
      <c r="P46" s="28"/>
      <c r="Q46" s="28"/>
      <c r="R46" s="26"/>
      <c r="S46" s="27"/>
      <c r="T46" s="26"/>
      <c r="U46" s="28"/>
      <c r="V46" s="28"/>
      <c r="W46" s="26"/>
      <c r="X46" s="27"/>
      <c r="Y46" s="26"/>
      <c r="Z46" s="28"/>
      <c r="AA46" s="28"/>
    </row>
    <row r="47" spans="1:27" x14ac:dyDescent="0.2">
      <c r="A47" s="26"/>
      <c r="B47" s="26"/>
      <c r="C47" s="26"/>
      <c r="D47" s="27"/>
      <c r="E47" s="26"/>
      <c r="F47" s="28"/>
      <c r="G47" s="28"/>
      <c r="H47" s="26"/>
      <c r="I47" s="27"/>
      <c r="J47" s="26"/>
      <c r="K47" s="28"/>
      <c r="L47" s="28"/>
      <c r="M47" s="26"/>
      <c r="N47" s="27"/>
      <c r="O47" s="26"/>
      <c r="P47" s="28"/>
      <c r="Q47" s="28"/>
      <c r="R47" s="26"/>
      <c r="S47" s="27"/>
      <c r="T47" s="26"/>
      <c r="U47" s="28"/>
      <c r="V47" s="28"/>
      <c r="W47" s="26"/>
      <c r="X47" s="27"/>
      <c r="Y47" s="26"/>
      <c r="Z47" s="28"/>
      <c r="AA47" s="28"/>
    </row>
    <row r="48" spans="1:27" x14ac:dyDescent="0.2">
      <c r="A48" s="26"/>
      <c r="B48" s="26"/>
      <c r="C48" s="26"/>
      <c r="D48" s="27"/>
      <c r="E48" s="26"/>
      <c r="F48" s="28"/>
      <c r="G48" s="28"/>
      <c r="H48" s="26"/>
      <c r="I48" s="27"/>
      <c r="J48" s="26"/>
      <c r="K48" s="28"/>
      <c r="L48" s="28"/>
      <c r="M48" s="26"/>
      <c r="N48" s="27"/>
      <c r="O48" s="26"/>
      <c r="P48" s="28"/>
      <c r="Q48" s="28"/>
      <c r="R48" s="26"/>
      <c r="S48" s="27"/>
      <c r="T48" s="26"/>
      <c r="U48" s="28"/>
      <c r="V48" s="28"/>
      <c r="W48" s="26"/>
      <c r="X48" s="27"/>
      <c r="Y48" s="26"/>
      <c r="Z48" s="28"/>
      <c r="AA48" s="28"/>
    </row>
    <row r="49" spans="1:27" x14ac:dyDescent="0.2">
      <c r="A49" s="26"/>
      <c r="B49" s="26"/>
      <c r="C49" s="26"/>
      <c r="D49" s="27"/>
      <c r="E49" s="26"/>
      <c r="F49" s="28"/>
      <c r="G49" s="28"/>
      <c r="H49" s="26"/>
      <c r="I49" s="27"/>
      <c r="J49" s="26"/>
      <c r="K49" s="28"/>
      <c r="L49" s="28"/>
      <c r="M49" s="26"/>
      <c r="N49" s="27"/>
      <c r="O49" s="26"/>
      <c r="P49" s="28"/>
      <c r="Q49" s="28"/>
      <c r="R49" s="26"/>
      <c r="S49" s="27"/>
      <c r="T49" s="26"/>
      <c r="U49" s="28"/>
      <c r="V49" s="28"/>
      <c r="W49" s="26"/>
      <c r="X49" s="27"/>
      <c r="Y49" s="26"/>
      <c r="Z49" s="28"/>
      <c r="AA49" s="28"/>
    </row>
    <row r="50" spans="1:27" x14ac:dyDescent="0.2">
      <c r="A50" s="26"/>
      <c r="B50" s="26"/>
      <c r="C50" s="26"/>
      <c r="D50" s="27"/>
      <c r="E50" s="26"/>
      <c r="F50" s="28"/>
      <c r="G50" s="28"/>
      <c r="H50" s="26"/>
      <c r="I50" s="27"/>
      <c r="J50" s="26"/>
      <c r="K50" s="28"/>
      <c r="L50" s="28"/>
      <c r="M50" s="26"/>
      <c r="N50" s="27"/>
      <c r="O50" s="26"/>
      <c r="P50" s="28"/>
      <c r="Q50" s="28"/>
      <c r="R50" s="26"/>
      <c r="S50" s="27"/>
      <c r="T50" s="26"/>
      <c r="U50" s="28"/>
      <c r="V50" s="28"/>
      <c r="W50" s="26"/>
      <c r="X50" s="27"/>
      <c r="Y50" s="26"/>
      <c r="Z50" s="28"/>
      <c r="AA50" s="28"/>
    </row>
    <row r="51" spans="1:27" x14ac:dyDescent="0.2">
      <c r="A51" s="26"/>
      <c r="B51" s="26"/>
      <c r="C51" s="26"/>
      <c r="D51" s="27"/>
      <c r="E51" s="26"/>
      <c r="F51" s="28"/>
      <c r="G51" s="28"/>
      <c r="H51" s="26"/>
      <c r="I51" s="27"/>
      <c r="J51" s="26"/>
      <c r="K51" s="28"/>
      <c r="L51" s="28"/>
      <c r="M51" s="26"/>
      <c r="N51" s="27"/>
      <c r="O51" s="26"/>
      <c r="P51" s="28"/>
      <c r="Q51" s="28"/>
      <c r="R51" s="26"/>
      <c r="S51" s="27"/>
      <c r="T51" s="26"/>
      <c r="U51" s="28"/>
      <c r="V51" s="28"/>
      <c r="W51" s="26"/>
      <c r="X51" s="27"/>
      <c r="Y51" s="26"/>
      <c r="Z51" s="28"/>
      <c r="AA51" s="28"/>
    </row>
    <row r="52" spans="1:27" x14ac:dyDescent="0.2">
      <c r="A52" s="26"/>
      <c r="B52" s="26"/>
      <c r="C52" s="26"/>
      <c r="D52" s="27"/>
      <c r="E52" s="26"/>
      <c r="F52" s="28"/>
      <c r="G52" s="28"/>
      <c r="H52" s="26"/>
      <c r="I52" s="27"/>
      <c r="J52" s="26"/>
      <c r="K52" s="28"/>
      <c r="L52" s="28"/>
      <c r="M52" s="26"/>
      <c r="N52" s="27"/>
      <c r="O52" s="26"/>
      <c r="P52" s="28"/>
      <c r="Q52" s="28"/>
      <c r="R52" s="26"/>
      <c r="S52" s="27"/>
      <c r="T52" s="26"/>
      <c r="U52" s="28"/>
      <c r="V52" s="28"/>
      <c r="W52" s="26"/>
      <c r="X52" s="27"/>
      <c r="Y52" s="26"/>
      <c r="Z52" s="28"/>
      <c r="AA52" s="28"/>
    </row>
    <row r="53" spans="1:27" x14ac:dyDescent="0.2">
      <c r="A53" s="26"/>
      <c r="B53" s="26"/>
      <c r="C53" s="26"/>
      <c r="D53" s="27"/>
      <c r="E53" s="26"/>
      <c r="F53" s="28"/>
      <c r="G53" s="28"/>
      <c r="H53" s="26"/>
      <c r="I53" s="27"/>
      <c r="J53" s="26"/>
      <c r="K53" s="28"/>
      <c r="L53" s="28"/>
      <c r="M53" s="26"/>
      <c r="N53" s="27"/>
      <c r="O53" s="26"/>
      <c r="P53" s="28"/>
      <c r="Q53" s="28"/>
      <c r="R53" s="26"/>
      <c r="S53" s="27"/>
      <c r="T53" s="26"/>
      <c r="U53" s="28"/>
      <c r="V53" s="28"/>
      <c r="W53" s="26"/>
      <c r="X53" s="27"/>
      <c r="Y53" s="26"/>
      <c r="Z53" s="28"/>
      <c r="AA53" s="28"/>
    </row>
    <row r="54" spans="1:27" x14ac:dyDescent="0.2">
      <c r="A54" s="26"/>
      <c r="B54" s="26"/>
      <c r="C54" s="26"/>
      <c r="D54" s="27"/>
      <c r="E54" s="26"/>
      <c r="F54" s="28"/>
      <c r="G54" s="28"/>
      <c r="H54" s="26"/>
      <c r="I54" s="27"/>
      <c r="J54" s="26"/>
      <c r="K54" s="28"/>
      <c r="L54" s="28"/>
      <c r="M54" s="26"/>
      <c r="N54" s="27"/>
      <c r="O54" s="26"/>
      <c r="P54" s="28"/>
      <c r="Q54" s="28"/>
      <c r="R54" s="26"/>
      <c r="S54" s="27"/>
      <c r="T54" s="26"/>
      <c r="U54" s="28"/>
      <c r="V54" s="28"/>
      <c r="W54" s="26"/>
      <c r="X54" s="27"/>
      <c r="Y54" s="26"/>
      <c r="Z54" s="28"/>
      <c r="AA54" s="28"/>
    </row>
    <row r="55" spans="1:27" x14ac:dyDescent="0.2">
      <c r="A55" s="26"/>
      <c r="B55" s="26"/>
      <c r="C55" s="26"/>
      <c r="D55" s="27"/>
      <c r="E55" s="26"/>
      <c r="F55" s="28"/>
      <c r="G55" s="28"/>
      <c r="H55" s="26"/>
      <c r="I55" s="27"/>
      <c r="J55" s="26"/>
      <c r="K55" s="28"/>
      <c r="L55" s="28"/>
      <c r="M55" s="26"/>
      <c r="N55" s="27"/>
      <c r="O55" s="26"/>
      <c r="P55" s="28"/>
      <c r="Q55" s="28"/>
      <c r="R55" s="26"/>
      <c r="S55" s="27"/>
      <c r="T55" s="26"/>
      <c r="U55" s="28"/>
      <c r="V55" s="28"/>
      <c r="W55" s="26"/>
      <c r="X55" s="27"/>
      <c r="Y55" s="26"/>
      <c r="Z55" s="28"/>
      <c r="AA55" s="28"/>
    </row>
    <row r="56" spans="1:27" x14ac:dyDescent="0.2">
      <c r="A56" s="26"/>
      <c r="B56" s="26"/>
      <c r="C56" s="26"/>
      <c r="D56" s="27"/>
      <c r="E56" s="26"/>
      <c r="F56" s="28"/>
      <c r="G56" s="28"/>
      <c r="H56" s="26"/>
      <c r="I56" s="27"/>
      <c r="J56" s="26"/>
      <c r="K56" s="28"/>
      <c r="L56" s="28"/>
      <c r="M56" s="26"/>
      <c r="N56" s="27"/>
      <c r="O56" s="26"/>
      <c r="P56" s="28"/>
      <c r="Q56" s="28"/>
      <c r="R56" s="26"/>
      <c r="S56" s="27"/>
      <c r="T56" s="26"/>
      <c r="U56" s="28"/>
      <c r="V56" s="28"/>
      <c r="W56" s="26"/>
      <c r="X56" s="27"/>
      <c r="Y56" s="26"/>
      <c r="Z56" s="28"/>
      <c r="AA56" s="28"/>
    </row>
    <row r="57" spans="1:27" x14ac:dyDescent="0.2">
      <c r="A57" s="26"/>
      <c r="B57" s="26"/>
      <c r="C57" s="26"/>
      <c r="D57" s="27"/>
      <c r="E57" s="26"/>
      <c r="F57" s="28"/>
      <c r="G57" s="28"/>
      <c r="H57" s="26"/>
      <c r="I57" s="27"/>
      <c r="J57" s="26"/>
      <c r="K57" s="28"/>
      <c r="L57" s="28"/>
      <c r="M57" s="26"/>
      <c r="N57" s="27"/>
      <c r="O57" s="26"/>
      <c r="P57" s="28"/>
      <c r="Q57" s="28"/>
      <c r="R57" s="26"/>
      <c r="S57" s="27"/>
      <c r="T57" s="26"/>
      <c r="U57" s="28"/>
      <c r="V57" s="28"/>
      <c r="W57" s="26"/>
      <c r="X57" s="27"/>
      <c r="Y57" s="26"/>
      <c r="Z57" s="28"/>
      <c r="AA57" s="28"/>
    </row>
    <row r="58" spans="1:27" x14ac:dyDescent="0.2">
      <c r="A58" s="26"/>
      <c r="B58" s="26"/>
      <c r="C58" s="26"/>
      <c r="D58" s="27"/>
      <c r="E58" s="26"/>
      <c r="F58" s="28"/>
      <c r="G58" s="28"/>
      <c r="H58" s="26"/>
      <c r="I58" s="27"/>
      <c r="J58" s="26"/>
      <c r="K58" s="28"/>
      <c r="L58" s="28"/>
      <c r="M58" s="26"/>
      <c r="N58" s="27"/>
      <c r="O58" s="26"/>
      <c r="P58" s="28"/>
      <c r="Q58" s="28"/>
      <c r="R58" s="26"/>
      <c r="S58" s="27"/>
      <c r="T58" s="26"/>
      <c r="U58" s="28"/>
      <c r="V58" s="28"/>
      <c r="W58" s="26"/>
      <c r="X58" s="27"/>
      <c r="Y58" s="26"/>
      <c r="Z58" s="28"/>
      <c r="AA58" s="28"/>
    </row>
    <row r="59" spans="1:27" x14ac:dyDescent="0.2">
      <c r="A59" s="26"/>
      <c r="B59" s="26"/>
      <c r="C59" s="26"/>
      <c r="D59" s="27"/>
      <c r="E59" s="26"/>
      <c r="F59" s="28"/>
      <c r="G59" s="28"/>
      <c r="H59" s="26"/>
      <c r="I59" s="27"/>
      <c r="J59" s="26"/>
      <c r="K59" s="28"/>
      <c r="L59" s="28"/>
      <c r="M59" s="26"/>
      <c r="N59" s="27"/>
      <c r="O59" s="26"/>
      <c r="P59" s="28"/>
      <c r="Q59" s="28"/>
      <c r="R59" s="26"/>
      <c r="S59" s="27"/>
      <c r="T59" s="26"/>
      <c r="U59" s="28"/>
      <c r="V59" s="28"/>
      <c r="W59" s="26"/>
      <c r="X59" s="27"/>
      <c r="Y59" s="26"/>
      <c r="Z59" s="28"/>
      <c r="AA59" s="28"/>
    </row>
    <row r="60" spans="1:27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</row>
    <row r="61" spans="1:27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</row>
    <row r="62" spans="1:27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</row>
    <row r="63" spans="1:27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</row>
  </sheetData>
  <mergeCells count="10">
    <mergeCell ref="A2:A3"/>
    <mergeCell ref="D14:D15"/>
    <mergeCell ref="E14:E15"/>
    <mergeCell ref="I14:I15"/>
    <mergeCell ref="N14:N15"/>
    <mergeCell ref="S14:S15"/>
    <mergeCell ref="X14:X15"/>
    <mergeCell ref="A12:B14"/>
    <mergeCell ref="A15:B17"/>
    <mergeCell ref="A18:B20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8675-0A74-4E29-A7D7-59D3F42D9C01}">
  <sheetPr codeName="Sheet21">
    <tabColor theme="9" tint="0.59999389629810485"/>
  </sheetPr>
  <dimension ref="A1:R63"/>
  <sheetViews>
    <sheetView zoomScaleNormal="100" workbookViewId="0"/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customWidth="1"/>
    <col min="8" max="8" width="1.6640625" customWidth="1"/>
    <col min="9" max="9" width="13.6640625" customWidth="1"/>
    <col min="10" max="10" width="54.6640625" customWidth="1"/>
    <col min="12" max="12" width="1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customWidth="1"/>
  </cols>
  <sheetData>
    <row r="1" spans="1:1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18" x14ac:dyDescent="0.2">
      <c r="A2" s="247" t="s">
        <v>153</v>
      </c>
      <c r="B2" s="99"/>
      <c r="C2" s="26"/>
      <c r="D2" s="26"/>
      <c r="E2" s="69" t="s">
        <v>117</v>
      </c>
      <c r="F2" s="70" t="s">
        <v>90</v>
      </c>
      <c r="G2" s="70" t="s">
        <v>90</v>
      </c>
      <c r="H2" s="26"/>
      <c r="I2" s="26"/>
      <c r="J2" s="69" t="s">
        <v>121</v>
      </c>
      <c r="K2" s="70" t="s">
        <v>90</v>
      </c>
      <c r="L2" s="26"/>
      <c r="M2" s="26"/>
      <c r="N2" s="26"/>
      <c r="O2" s="26"/>
      <c r="P2" s="26"/>
      <c r="Q2" s="26"/>
      <c r="R2" s="26"/>
    </row>
    <row r="3" spans="1:18" x14ac:dyDescent="0.2">
      <c r="A3" s="248"/>
      <c r="B3" s="110">
        <f>Main!F7</f>
        <v>1</v>
      </c>
      <c r="C3" s="26"/>
      <c r="D3" s="26"/>
      <c r="E3" s="66" t="s">
        <v>82</v>
      </c>
      <c r="F3" s="67">
        <f>F16/24</f>
        <v>7</v>
      </c>
      <c r="G3" s="67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2">
      <c r="A4" s="26"/>
      <c r="B4" s="106" t="s">
        <v>223</v>
      </c>
      <c r="C4" s="109" t="s">
        <v>222</v>
      </c>
      <c r="D4" s="60"/>
      <c r="E4" s="26" t="s">
        <v>89</v>
      </c>
      <c r="F4" s="64">
        <f>SUM(F17:F21)/24</f>
        <v>4</v>
      </c>
      <c r="G4" s="64">
        <f>SUM(G17:G21)/24</f>
        <v>0.27663860611111113</v>
      </c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2">
      <c r="A5" s="103" t="s">
        <v>192</v>
      </c>
      <c r="B5" s="107">
        <f>F3+F4+F5+(F7+F8)*(IF(B2&lt;&gt;"",B2,B3)-1)</f>
        <v>15.916666666666668</v>
      </c>
      <c r="C5" s="111">
        <f>F3+F4+F5+G4+G5+(F7+F8+G7+G8)*(IF(B2&lt;&gt;"",B2,B3)-1)</f>
        <v>16.471462786296296</v>
      </c>
      <c r="D5" s="105" t="s">
        <v>38</v>
      </c>
      <c r="E5" s="32" t="s">
        <v>118</v>
      </c>
      <c r="F5" s="68">
        <f>SUM(F23:F36)/24</f>
        <v>4.916666666666667</v>
      </c>
      <c r="G5" s="68">
        <f>SUM(G23:G51)/24</f>
        <v>0.27815751351851853</v>
      </c>
      <c r="H5" s="26"/>
      <c r="I5" s="26"/>
      <c r="J5" s="71" t="s">
        <v>116</v>
      </c>
      <c r="K5" s="72">
        <f>K12/24</f>
        <v>2.75</v>
      </c>
      <c r="L5" s="72">
        <f>L12/24</f>
        <v>0</v>
      </c>
      <c r="M5" s="26"/>
      <c r="N5" s="26"/>
      <c r="O5" s="26"/>
      <c r="P5" s="26"/>
      <c r="Q5" s="26"/>
      <c r="R5" s="26"/>
    </row>
    <row r="6" spans="1:18" x14ac:dyDescent="0.2">
      <c r="A6" s="31" t="s">
        <v>193</v>
      </c>
      <c r="B6" s="108">
        <v>0</v>
      </c>
      <c r="C6" s="112">
        <v>0</v>
      </c>
      <c r="D6" s="33" t="s">
        <v>38</v>
      </c>
      <c r="E6" s="100" t="s">
        <v>120</v>
      </c>
      <c r="F6" s="70" t="s">
        <v>90</v>
      </c>
      <c r="G6" s="70" t="s">
        <v>90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2">
      <c r="A7" s="26"/>
      <c r="B7" s="26"/>
      <c r="C7" s="26"/>
      <c r="D7" s="26"/>
      <c r="E7" s="30" t="s">
        <v>89</v>
      </c>
      <c r="F7" s="64">
        <f>SUM(F17:F21)/24</f>
        <v>4</v>
      </c>
      <c r="G7" s="64">
        <f>SUM(G17:G21)/24</f>
        <v>0.27663860611111113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2">
      <c r="A8" s="26"/>
      <c r="B8" s="26"/>
      <c r="C8" s="26"/>
      <c r="D8" s="26"/>
      <c r="E8" s="31" t="s">
        <v>119</v>
      </c>
      <c r="F8" s="68">
        <f>SUM(F23:F38)/24</f>
        <v>5.666666666666667</v>
      </c>
      <c r="G8" s="68">
        <f>SUM(G23:G53)/24</f>
        <v>0.27815751351851853</v>
      </c>
      <c r="H8" s="26"/>
      <c r="I8" s="26"/>
      <c r="J8" s="71" t="s">
        <v>116</v>
      </c>
      <c r="K8" s="72">
        <f>K5</f>
        <v>2.75</v>
      </c>
      <c r="L8" s="72">
        <f>L5</f>
        <v>0</v>
      </c>
      <c r="M8" s="26"/>
      <c r="N8" s="26"/>
      <c r="O8" s="26"/>
      <c r="P8" s="26"/>
      <c r="Q8" s="26"/>
      <c r="R8" s="26"/>
    </row>
    <row r="9" spans="1:18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1:18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18" x14ac:dyDescent="0.2">
      <c r="A11" s="148" t="s">
        <v>319</v>
      </c>
      <c r="B11" s="26"/>
      <c r="C11" s="26"/>
      <c r="D11" s="42"/>
      <c r="E11" s="43" t="s">
        <v>154</v>
      </c>
      <c r="F11" s="76"/>
      <c r="G11" s="44"/>
      <c r="H11" s="136"/>
      <c r="I11" s="42"/>
      <c r="J11" s="43" t="s">
        <v>155</v>
      </c>
      <c r="K11" s="76"/>
      <c r="L11" s="44"/>
      <c r="M11" s="136"/>
      <c r="N11" s="42"/>
      <c r="O11" s="43"/>
      <c r="P11" s="44"/>
      <c r="Q11" s="44"/>
      <c r="R11" s="26"/>
    </row>
    <row r="12" spans="1:18" x14ac:dyDescent="0.2">
      <c r="A12" s="259" t="s">
        <v>323</v>
      </c>
      <c r="B12" s="260"/>
      <c r="C12" s="26"/>
      <c r="D12" s="35" t="s">
        <v>112</v>
      </c>
      <c r="E12" s="36"/>
      <c r="F12" s="77">
        <f>SUM(F16:F59)</f>
        <v>400</v>
      </c>
      <c r="G12" s="94">
        <f>SUM(G16:G59)</f>
        <v>13.315106871111109</v>
      </c>
      <c r="H12" s="136"/>
      <c r="I12" s="35" t="s">
        <v>112</v>
      </c>
      <c r="J12" s="36"/>
      <c r="K12" s="77">
        <f>SUM(K16:K59)</f>
        <v>66</v>
      </c>
      <c r="L12" s="94">
        <f>SUM(L16:L59)</f>
        <v>0</v>
      </c>
      <c r="M12" s="136"/>
      <c r="N12" s="35"/>
      <c r="O12" s="36"/>
      <c r="P12" s="37">
        <f>SUM(P16:P59)</f>
        <v>0</v>
      </c>
      <c r="Q12" s="94">
        <f>SUM(Q16:Q59)</f>
        <v>0</v>
      </c>
      <c r="R12" s="26"/>
    </row>
    <row r="13" spans="1:18" x14ac:dyDescent="0.2">
      <c r="A13" s="260"/>
      <c r="B13" s="260"/>
      <c r="C13" s="26"/>
      <c r="D13" s="253"/>
      <c r="E13" s="254"/>
      <c r="F13" s="254"/>
      <c r="G13" s="255"/>
      <c r="H13" s="136"/>
      <c r="I13" s="253"/>
      <c r="J13" s="254"/>
      <c r="K13" s="254"/>
      <c r="L13" s="255"/>
      <c r="M13" s="136"/>
      <c r="N13" s="253"/>
      <c r="O13" s="254"/>
      <c r="P13" s="254"/>
      <c r="Q13" s="255"/>
      <c r="R13" s="30"/>
    </row>
    <row r="14" spans="1:18" x14ac:dyDescent="0.2">
      <c r="A14" s="260"/>
      <c r="B14" s="260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61" t="s">
        <v>83</v>
      </c>
      <c r="J14" s="262" t="s">
        <v>16</v>
      </c>
      <c r="K14" s="138" t="s">
        <v>17</v>
      </c>
      <c r="L14" s="138" t="s">
        <v>215</v>
      </c>
      <c r="M14" s="136"/>
      <c r="N14" s="249" t="s">
        <v>83</v>
      </c>
      <c r="O14" s="251"/>
      <c r="P14" s="39"/>
      <c r="Q14" s="39" t="s">
        <v>215</v>
      </c>
      <c r="R14" s="26"/>
    </row>
    <row r="15" spans="1:18" x14ac:dyDescent="0.2">
      <c r="A15" s="259" t="s">
        <v>324</v>
      </c>
      <c r="B15" s="260"/>
      <c r="C15" s="26"/>
      <c r="D15" s="250"/>
      <c r="E15" s="252"/>
      <c r="F15" s="41" t="s">
        <v>18</v>
      </c>
      <c r="G15" s="41" t="s">
        <v>18</v>
      </c>
      <c r="H15" s="26"/>
      <c r="I15" s="250"/>
      <c r="J15" s="252"/>
      <c r="K15" s="41" t="s">
        <v>18</v>
      </c>
      <c r="L15" s="41" t="s">
        <v>18</v>
      </c>
      <c r="M15" s="26"/>
      <c r="N15" s="250"/>
      <c r="O15" s="252"/>
      <c r="P15" s="41"/>
      <c r="Q15" s="41" t="s">
        <v>18</v>
      </c>
      <c r="R15" s="26"/>
    </row>
    <row r="16" spans="1:18" x14ac:dyDescent="0.2">
      <c r="A16" s="260"/>
      <c r="B16" s="260"/>
      <c r="C16" s="26"/>
      <c r="D16" s="27">
        <v>1</v>
      </c>
      <c r="E16" s="26" t="s">
        <v>82</v>
      </c>
      <c r="F16" s="28">
        <f>7*24</f>
        <v>168</v>
      </c>
      <c r="G16" s="64"/>
      <c r="H16" s="26"/>
      <c r="I16" s="27"/>
      <c r="J16" s="26"/>
      <c r="K16" s="28"/>
      <c r="L16" s="64"/>
      <c r="M16" s="26"/>
      <c r="N16" s="27"/>
      <c r="O16" s="26"/>
      <c r="P16" s="28"/>
      <c r="Q16" s="64"/>
      <c r="R16" s="26"/>
    </row>
    <row r="17" spans="1:18" x14ac:dyDescent="0.2">
      <c r="A17" s="260"/>
      <c r="B17" s="260"/>
      <c r="C17" s="26"/>
      <c r="D17" s="27">
        <v>2</v>
      </c>
      <c r="E17" s="26" t="s">
        <v>275</v>
      </c>
      <c r="F17" s="28">
        <v>28</v>
      </c>
      <c r="G17" s="64">
        <f>'Unit Cell Details'!$F$46*6</f>
        <v>3.3743439400000002</v>
      </c>
      <c r="H17" s="26"/>
      <c r="I17" s="27"/>
      <c r="J17" s="26"/>
      <c r="K17" s="28"/>
      <c r="L17" s="64"/>
      <c r="M17" s="26"/>
      <c r="N17" s="27"/>
      <c r="O17" s="26"/>
      <c r="P17" s="28"/>
      <c r="Q17" s="64"/>
      <c r="R17" s="26"/>
    </row>
    <row r="18" spans="1:18" x14ac:dyDescent="0.2">
      <c r="A18" s="259" t="s">
        <v>325</v>
      </c>
      <c r="B18" s="260"/>
      <c r="C18" s="26"/>
      <c r="D18" s="27">
        <v>3</v>
      </c>
      <c r="E18" s="26" t="s">
        <v>276</v>
      </c>
      <c r="F18" s="28">
        <v>28</v>
      </c>
      <c r="G18" s="64">
        <f>'Unit Cell Details'!$F$46*6</f>
        <v>3.3743439400000002</v>
      </c>
      <c r="H18" s="26"/>
      <c r="I18" s="27"/>
      <c r="J18" s="26"/>
      <c r="K18" s="28"/>
      <c r="L18" s="64"/>
      <c r="M18" s="26"/>
      <c r="N18" s="27"/>
      <c r="O18" s="26"/>
      <c r="P18" s="28"/>
      <c r="Q18" s="64"/>
      <c r="R18" s="26"/>
    </row>
    <row r="19" spans="1:18" x14ac:dyDescent="0.2">
      <c r="A19" s="260"/>
      <c r="B19" s="260"/>
      <c r="C19" s="26"/>
      <c r="D19" s="27">
        <v>4</v>
      </c>
      <c r="E19" s="26" t="s">
        <v>277</v>
      </c>
      <c r="F19" s="28">
        <v>28</v>
      </c>
      <c r="G19" s="64">
        <f>'Unit Cell Details'!$F$49*12</f>
        <v>-0.10936133333333334</v>
      </c>
      <c r="H19" s="26"/>
      <c r="I19" s="27"/>
      <c r="J19" s="26"/>
      <c r="K19" s="28"/>
      <c r="L19" s="64"/>
      <c r="M19" s="26"/>
      <c r="N19" s="27"/>
      <c r="O19" s="26"/>
      <c r="P19" s="28"/>
      <c r="Q19" s="64"/>
      <c r="R19" s="26"/>
    </row>
    <row r="20" spans="1:18" x14ac:dyDescent="0.2">
      <c r="A20" s="260"/>
      <c r="B20" s="260"/>
      <c r="C20" s="26"/>
      <c r="D20" s="27">
        <v>5</v>
      </c>
      <c r="E20" s="26" t="s">
        <v>280</v>
      </c>
      <c r="F20" s="28">
        <v>6</v>
      </c>
      <c r="G20" s="64"/>
      <c r="H20" s="26"/>
      <c r="I20" s="27"/>
      <c r="J20" s="26"/>
      <c r="K20" s="28"/>
      <c r="L20" s="64"/>
      <c r="M20" s="26"/>
      <c r="N20" s="27"/>
      <c r="O20" s="26"/>
      <c r="P20" s="28"/>
      <c r="Q20" s="64"/>
      <c r="R20" s="26"/>
    </row>
    <row r="21" spans="1:18" x14ac:dyDescent="0.2">
      <c r="A21" s="26"/>
      <c r="B21" s="26"/>
      <c r="C21" s="26"/>
      <c r="D21" s="27">
        <v>6</v>
      </c>
      <c r="E21" s="26" t="s">
        <v>86</v>
      </c>
      <c r="F21" s="28">
        <v>6</v>
      </c>
      <c r="G21" s="64"/>
      <c r="H21" s="26"/>
      <c r="I21" s="27">
        <v>1</v>
      </c>
      <c r="J21" s="26" t="s">
        <v>311</v>
      </c>
      <c r="K21" s="28">
        <v>2</v>
      </c>
      <c r="L21" s="64"/>
      <c r="M21" s="26"/>
      <c r="N21" s="27"/>
      <c r="O21" s="26"/>
      <c r="P21" s="28"/>
      <c r="Q21" s="64"/>
      <c r="R21" s="26"/>
    </row>
    <row r="22" spans="1:18" x14ac:dyDescent="0.2">
      <c r="A22" s="26"/>
      <c r="B22" s="26"/>
      <c r="C22" s="26"/>
      <c r="D22" s="27"/>
      <c r="E22" s="26"/>
      <c r="F22" s="28"/>
      <c r="G22" s="64"/>
      <c r="H22" s="26"/>
      <c r="I22" s="27">
        <v>2</v>
      </c>
      <c r="J22" s="26" t="s">
        <v>88</v>
      </c>
      <c r="K22" s="28">
        <v>8</v>
      </c>
      <c r="L22" s="64"/>
      <c r="M22" s="26"/>
      <c r="N22" s="27"/>
      <c r="O22" s="26"/>
      <c r="P22" s="28"/>
      <c r="Q22" s="64"/>
      <c r="R22" s="26"/>
    </row>
    <row r="23" spans="1:18" x14ac:dyDescent="0.2">
      <c r="A23" s="26"/>
      <c r="B23" s="26"/>
      <c r="C23" s="26"/>
      <c r="D23" s="27">
        <v>7</v>
      </c>
      <c r="E23" s="26" t="s">
        <v>91</v>
      </c>
      <c r="F23" s="28">
        <v>18</v>
      </c>
      <c r="G23" s="64"/>
      <c r="H23" s="26"/>
      <c r="I23" s="27">
        <v>3</v>
      </c>
      <c r="J23" s="26" t="s">
        <v>312</v>
      </c>
      <c r="K23" s="28">
        <v>6</v>
      </c>
      <c r="L23" s="64"/>
      <c r="M23" s="26"/>
      <c r="N23" s="27"/>
      <c r="O23" s="26"/>
      <c r="P23" s="28"/>
      <c r="Q23" s="64"/>
      <c r="R23" s="26"/>
    </row>
    <row r="24" spans="1:18" x14ac:dyDescent="0.2">
      <c r="A24" s="26"/>
      <c r="B24" s="26"/>
      <c r="C24" s="26"/>
      <c r="D24" s="27">
        <v>8</v>
      </c>
      <c r="E24" s="26" t="s">
        <v>92</v>
      </c>
      <c r="F24" s="28">
        <v>8</v>
      </c>
      <c r="G24" s="64"/>
      <c r="H24" s="26"/>
      <c r="I24" s="27">
        <v>4</v>
      </c>
      <c r="J24" s="26" t="s">
        <v>95</v>
      </c>
      <c r="K24" s="28">
        <v>18</v>
      </c>
      <c r="L24" s="64"/>
      <c r="M24" s="26"/>
      <c r="N24" s="27"/>
      <c r="O24" s="26"/>
      <c r="P24" s="28"/>
      <c r="Q24" s="64"/>
      <c r="R24" s="26"/>
    </row>
    <row r="25" spans="1:18" x14ac:dyDescent="0.2">
      <c r="A25" s="26"/>
      <c r="B25" s="26"/>
      <c r="C25" s="26"/>
      <c r="D25" s="27">
        <v>9</v>
      </c>
      <c r="E25" s="26" t="s">
        <v>93</v>
      </c>
      <c r="F25" s="28">
        <v>8</v>
      </c>
      <c r="G25" s="64"/>
      <c r="H25" s="26"/>
      <c r="I25" s="27"/>
      <c r="J25" s="26"/>
      <c r="K25" s="28"/>
      <c r="L25" s="64"/>
      <c r="M25" s="26"/>
      <c r="N25" s="27"/>
      <c r="O25" s="26"/>
      <c r="P25" s="28"/>
      <c r="Q25" s="64"/>
      <c r="R25" s="26"/>
    </row>
    <row r="26" spans="1:18" x14ac:dyDescent="0.2">
      <c r="A26" s="26"/>
      <c r="B26" s="26"/>
      <c r="C26" s="26"/>
      <c r="D26" s="27">
        <v>10</v>
      </c>
      <c r="E26" s="26" t="s">
        <v>313</v>
      </c>
      <c r="F26" s="28">
        <v>4</v>
      </c>
      <c r="G26" s="64"/>
      <c r="H26" s="26"/>
      <c r="I26" s="27">
        <v>5</v>
      </c>
      <c r="J26" s="26" t="s">
        <v>318</v>
      </c>
      <c r="K26" s="28">
        <v>4</v>
      </c>
      <c r="L26" s="64"/>
      <c r="M26" s="26"/>
      <c r="N26" s="27"/>
      <c r="O26" s="26"/>
      <c r="P26" s="28"/>
      <c r="Q26" s="64"/>
      <c r="R26" s="26"/>
    </row>
    <row r="27" spans="1:18" x14ac:dyDescent="0.2">
      <c r="A27" s="26"/>
      <c r="B27" s="26"/>
      <c r="C27" s="26"/>
      <c r="D27" s="27">
        <v>11</v>
      </c>
      <c r="E27" s="26" t="s">
        <v>94</v>
      </c>
      <c r="F27" s="28">
        <v>8</v>
      </c>
      <c r="G27" s="64"/>
      <c r="H27" s="26"/>
      <c r="I27" s="27">
        <v>6</v>
      </c>
      <c r="J27" s="26" t="s">
        <v>98</v>
      </c>
      <c r="K27" s="28">
        <v>8</v>
      </c>
      <c r="L27" s="64"/>
      <c r="M27" s="26"/>
      <c r="N27" s="27"/>
      <c r="O27" s="26"/>
      <c r="P27" s="28"/>
      <c r="Q27" s="64"/>
      <c r="R27" s="26"/>
    </row>
    <row r="28" spans="1:18" x14ac:dyDescent="0.2">
      <c r="A28" s="26"/>
      <c r="B28" s="26"/>
      <c r="C28" s="26"/>
      <c r="D28" s="27">
        <v>12</v>
      </c>
      <c r="E28" s="26" t="s">
        <v>94</v>
      </c>
      <c r="F28" s="28">
        <v>8</v>
      </c>
      <c r="G28" s="64"/>
      <c r="H28" s="26"/>
      <c r="I28" s="27">
        <v>7</v>
      </c>
      <c r="J28" s="26" t="s">
        <v>98</v>
      </c>
      <c r="K28" s="28">
        <v>2</v>
      </c>
      <c r="L28" s="64"/>
      <c r="M28" s="26"/>
      <c r="N28" s="27"/>
      <c r="O28" s="26"/>
      <c r="P28" s="28"/>
      <c r="Q28" s="64"/>
      <c r="R28" s="26"/>
    </row>
    <row r="29" spans="1:18" x14ac:dyDescent="0.2">
      <c r="A29" s="26"/>
      <c r="B29" s="26"/>
      <c r="C29" s="26"/>
      <c r="D29" s="27">
        <v>13</v>
      </c>
      <c r="E29" s="26" t="s">
        <v>99</v>
      </c>
      <c r="F29" s="28">
        <v>8</v>
      </c>
      <c r="G29" s="64">
        <f>'Unit Cell Details'!$F$46+'Unit Cell Details'!$F$49</f>
        <v>0.55327721222222226</v>
      </c>
      <c r="H29" s="26"/>
      <c r="I29" s="27">
        <v>8</v>
      </c>
      <c r="J29" s="26" t="s">
        <v>96</v>
      </c>
      <c r="K29" s="28">
        <v>18</v>
      </c>
      <c r="L29" s="64"/>
      <c r="M29" s="26"/>
      <c r="N29" s="27"/>
      <c r="O29" s="26"/>
      <c r="P29" s="28"/>
      <c r="Q29" s="64"/>
      <c r="R29" s="26"/>
    </row>
    <row r="30" spans="1:18" x14ac:dyDescent="0.2">
      <c r="A30" s="26"/>
      <c r="B30" s="26"/>
      <c r="C30" s="26"/>
      <c r="D30" s="27">
        <v>14</v>
      </c>
      <c r="E30" s="26" t="s">
        <v>100</v>
      </c>
      <c r="F30" s="28">
        <v>8</v>
      </c>
      <c r="G30" s="64">
        <f>'Unit Cell Details'!$F$46+'Unit Cell Details'!$F$49</f>
        <v>0.55327721222222226</v>
      </c>
      <c r="H30" s="26"/>
      <c r="I30" s="27"/>
      <c r="J30" s="26"/>
      <c r="K30" s="28"/>
      <c r="L30" s="64"/>
      <c r="M30" s="26"/>
      <c r="N30" s="27"/>
      <c r="O30" s="26"/>
      <c r="P30" s="28"/>
      <c r="Q30" s="64"/>
      <c r="R30" s="26"/>
    </row>
    <row r="31" spans="1:18" x14ac:dyDescent="0.2">
      <c r="A31" s="26"/>
      <c r="B31" s="26"/>
      <c r="C31" s="26"/>
      <c r="D31" s="27">
        <v>15</v>
      </c>
      <c r="E31" s="26" t="s">
        <v>101</v>
      </c>
      <c r="F31" s="28">
        <v>8</v>
      </c>
      <c r="G31" s="64">
        <f>'Unit Cell Details'!$F$46+'Unit Cell Details'!$F$49</f>
        <v>0.55327721222222226</v>
      </c>
      <c r="H31" s="26"/>
      <c r="I31" s="27"/>
      <c r="J31" s="26"/>
      <c r="K31" s="28"/>
      <c r="L31" s="64"/>
      <c r="M31" s="26"/>
      <c r="N31" s="27"/>
      <c r="O31" s="26"/>
      <c r="P31" s="28"/>
      <c r="Q31" s="64"/>
      <c r="R31" s="26"/>
    </row>
    <row r="32" spans="1:18" x14ac:dyDescent="0.2">
      <c r="A32" s="26"/>
      <c r="B32" s="26"/>
      <c r="C32" s="26"/>
      <c r="D32" s="27">
        <v>16</v>
      </c>
      <c r="E32" s="26" t="s">
        <v>102</v>
      </c>
      <c r="F32" s="28">
        <v>8</v>
      </c>
      <c r="G32" s="64">
        <f>'Unit Cell Details'!$F$46+'Unit Cell Details'!$F$49</f>
        <v>0.55327721222222226</v>
      </c>
      <c r="H32" s="26"/>
      <c r="I32" s="27"/>
      <c r="J32" s="26"/>
      <c r="K32" s="28"/>
      <c r="L32" s="64"/>
      <c r="M32" s="26"/>
      <c r="N32" s="27"/>
      <c r="O32" s="26"/>
      <c r="P32" s="28"/>
      <c r="Q32" s="64"/>
      <c r="R32" s="26"/>
    </row>
    <row r="33" spans="1:18" x14ac:dyDescent="0.2">
      <c r="A33" s="26"/>
      <c r="B33" s="26"/>
      <c r="C33" s="26"/>
      <c r="D33" s="27">
        <v>17</v>
      </c>
      <c r="E33" s="26" t="s">
        <v>314</v>
      </c>
      <c r="F33" s="28">
        <v>8</v>
      </c>
      <c r="G33" s="64">
        <f>'Unit Cell Details'!$F$46*2+'Unit Cell Details'!$F$49</f>
        <v>1.1156678688888888</v>
      </c>
      <c r="H33" s="26"/>
      <c r="I33" s="27"/>
      <c r="J33" s="26"/>
      <c r="K33" s="28"/>
      <c r="L33" s="64"/>
      <c r="M33" s="26"/>
      <c r="N33" s="27"/>
      <c r="O33" s="26"/>
      <c r="P33" s="28"/>
      <c r="Q33" s="64"/>
      <c r="R33" s="26"/>
    </row>
    <row r="34" spans="1:18" x14ac:dyDescent="0.2">
      <c r="A34" s="26"/>
      <c r="B34" s="26"/>
      <c r="C34" s="26"/>
      <c r="D34" s="27">
        <v>18</v>
      </c>
      <c r="E34" s="26" t="s">
        <v>315</v>
      </c>
      <c r="F34" s="28">
        <v>8</v>
      </c>
      <c r="G34" s="64">
        <f>'Unit Cell Details'!$F$46*2+'Unit Cell Details'!$F$49</f>
        <v>1.1156678688888888</v>
      </c>
      <c r="H34" s="26"/>
      <c r="I34" s="27"/>
      <c r="J34" s="26"/>
      <c r="K34" s="28"/>
      <c r="L34" s="64"/>
      <c r="M34" s="26"/>
      <c r="N34" s="27"/>
      <c r="O34" s="26"/>
      <c r="P34" s="28"/>
      <c r="Q34" s="64"/>
      <c r="R34" s="26"/>
    </row>
    <row r="35" spans="1:18" x14ac:dyDescent="0.2">
      <c r="A35" s="26"/>
      <c r="B35" s="26"/>
      <c r="C35" s="26"/>
      <c r="D35" s="27">
        <v>19</v>
      </c>
      <c r="E35" s="26" t="s">
        <v>316</v>
      </c>
      <c r="F35" s="28">
        <v>8</v>
      </c>
      <c r="G35" s="64">
        <f>'Unit Cell Details'!$F$46*2+'Unit Cell Details'!$F$49</f>
        <v>1.1156678688888888</v>
      </c>
      <c r="H35" s="26"/>
      <c r="I35" s="27"/>
      <c r="J35" s="26"/>
      <c r="K35" s="28"/>
      <c r="L35" s="64"/>
      <c r="M35" s="26"/>
      <c r="N35" s="27"/>
      <c r="O35" s="26"/>
      <c r="P35" s="28"/>
      <c r="Q35" s="64"/>
      <c r="R35" s="26"/>
    </row>
    <row r="36" spans="1:18" x14ac:dyDescent="0.2">
      <c r="A36" s="26"/>
      <c r="B36" s="26"/>
      <c r="C36" s="26"/>
      <c r="D36" s="27">
        <v>20</v>
      </c>
      <c r="E36" s="26" t="s">
        <v>317</v>
      </c>
      <c r="F36" s="28">
        <v>8</v>
      </c>
      <c r="G36" s="64">
        <f>'Unit Cell Details'!$F$46*2+'Unit Cell Details'!$F$49</f>
        <v>1.1156678688888888</v>
      </c>
      <c r="H36" s="26"/>
      <c r="I36" s="27"/>
      <c r="J36" s="26"/>
      <c r="K36" s="28"/>
      <c r="L36" s="64"/>
      <c r="M36" s="26"/>
      <c r="N36" s="27"/>
      <c r="O36" s="26"/>
      <c r="P36" s="28"/>
      <c r="Q36" s="64"/>
      <c r="R36" s="26"/>
    </row>
    <row r="37" spans="1:18" x14ac:dyDescent="0.2">
      <c r="A37" s="26"/>
      <c r="B37" s="26"/>
      <c r="C37" s="26"/>
      <c r="D37" s="27"/>
      <c r="E37" s="26"/>
      <c r="F37" s="28"/>
      <c r="G37" s="64"/>
      <c r="H37" s="26"/>
      <c r="I37" s="27"/>
      <c r="J37" s="26"/>
      <c r="K37" s="28"/>
      <c r="L37" s="64"/>
      <c r="M37" s="26"/>
      <c r="N37" s="27"/>
      <c r="O37" s="26"/>
      <c r="P37" s="28"/>
      <c r="Q37" s="64"/>
      <c r="R37" s="26"/>
    </row>
    <row r="38" spans="1:18" x14ac:dyDescent="0.2">
      <c r="A38" s="26"/>
      <c r="B38" s="26"/>
      <c r="C38" s="26"/>
      <c r="D38" s="27">
        <v>21</v>
      </c>
      <c r="E38" s="26" t="s">
        <v>113</v>
      </c>
      <c r="F38" s="28">
        <v>18</v>
      </c>
      <c r="G38" s="64"/>
      <c r="H38" s="26"/>
      <c r="I38" s="27"/>
      <c r="J38" s="26"/>
      <c r="K38" s="28"/>
      <c r="L38" s="64"/>
      <c r="M38" s="26"/>
      <c r="N38" s="27"/>
      <c r="O38" s="26"/>
      <c r="P38" s="28"/>
      <c r="Q38" s="64"/>
      <c r="R38" s="26"/>
    </row>
    <row r="39" spans="1:18" x14ac:dyDescent="0.2">
      <c r="A39" s="26"/>
      <c r="B39" s="26"/>
      <c r="C39" s="26"/>
      <c r="D39" s="27"/>
      <c r="E39" s="26"/>
      <c r="F39" s="28"/>
      <c r="G39" s="64"/>
      <c r="H39" s="26"/>
      <c r="I39" s="27"/>
      <c r="J39" s="26"/>
      <c r="K39" s="28"/>
      <c r="L39" s="64"/>
      <c r="M39" s="26"/>
      <c r="N39" s="27"/>
      <c r="O39" s="26"/>
      <c r="P39" s="28"/>
      <c r="Q39" s="64"/>
      <c r="R39" s="26"/>
    </row>
    <row r="40" spans="1:18" x14ac:dyDescent="0.2">
      <c r="A40" s="26"/>
      <c r="B40" s="26"/>
      <c r="C40" s="26"/>
      <c r="D40" s="27"/>
      <c r="E40" s="26"/>
      <c r="F40" s="28"/>
      <c r="G40" s="64"/>
      <c r="H40" s="26"/>
      <c r="I40" s="27"/>
      <c r="J40" s="26"/>
      <c r="K40" s="28"/>
      <c r="L40" s="64"/>
      <c r="M40" s="26"/>
      <c r="N40" s="27"/>
      <c r="O40" s="26"/>
      <c r="P40" s="28"/>
      <c r="Q40" s="64"/>
      <c r="R40" s="26"/>
    </row>
    <row r="41" spans="1:18" x14ac:dyDescent="0.2">
      <c r="A41" s="26"/>
      <c r="B41" s="26"/>
      <c r="C41" s="26"/>
      <c r="D41" s="27"/>
      <c r="E41" s="26"/>
      <c r="F41" s="28"/>
      <c r="G41" s="64"/>
      <c r="H41" s="26"/>
      <c r="I41" s="27"/>
      <c r="J41" s="26"/>
      <c r="K41" s="28"/>
      <c r="L41" s="64"/>
      <c r="M41" s="26"/>
      <c r="N41" s="27"/>
      <c r="O41" s="26"/>
      <c r="P41" s="28"/>
      <c r="Q41" s="64"/>
      <c r="R41" s="26"/>
    </row>
    <row r="42" spans="1:18" x14ac:dyDescent="0.2">
      <c r="A42" s="26"/>
      <c r="B42" s="26"/>
      <c r="C42" s="26"/>
      <c r="D42" s="27"/>
      <c r="E42" s="26"/>
      <c r="F42" s="28"/>
      <c r="G42" s="64"/>
      <c r="H42" s="26"/>
      <c r="I42" s="27"/>
      <c r="J42" s="26"/>
      <c r="K42" s="28"/>
      <c r="L42" s="64"/>
      <c r="M42" s="26"/>
      <c r="N42" s="27"/>
      <c r="O42" s="26"/>
      <c r="P42" s="28"/>
      <c r="Q42" s="64"/>
      <c r="R42" s="26"/>
    </row>
    <row r="43" spans="1:18" x14ac:dyDescent="0.2">
      <c r="A43" s="26"/>
      <c r="B43" s="26"/>
      <c r="C43" s="26"/>
      <c r="D43" s="27"/>
      <c r="E43" s="26"/>
      <c r="F43" s="28"/>
      <c r="G43" s="64"/>
      <c r="H43" s="26"/>
      <c r="I43" s="27"/>
      <c r="J43" s="26"/>
      <c r="K43" s="28"/>
      <c r="L43" s="64"/>
      <c r="M43" s="26"/>
      <c r="N43" s="27"/>
      <c r="O43" s="26"/>
      <c r="P43" s="28"/>
      <c r="Q43" s="64"/>
      <c r="R43" s="26"/>
    </row>
    <row r="44" spans="1:18" x14ac:dyDescent="0.2">
      <c r="A44" s="26"/>
      <c r="B44" s="26"/>
      <c r="C44" s="26"/>
      <c r="D44" s="27"/>
      <c r="E44" s="26"/>
      <c r="F44" s="28"/>
      <c r="G44" s="64"/>
      <c r="H44" s="26"/>
      <c r="I44" s="27"/>
      <c r="J44" s="26"/>
      <c r="K44" s="28"/>
      <c r="L44" s="64"/>
      <c r="M44" s="26"/>
      <c r="N44" s="27"/>
      <c r="O44" s="26"/>
      <c r="P44" s="28"/>
      <c r="Q44" s="64"/>
      <c r="R44" s="26"/>
    </row>
    <row r="45" spans="1:18" x14ac:dyDescent="0.2">
      <c r="A45" s="26"/>
      <c r="B45" s="26"/>
      <c r="C45" s="26"/>
      <c r="D45" s="27"/>
      <c r="E45" s="26"/>
      <c r="F45" s="28"/>
      <c r="G45" s="64"/>
      <c r="H45" s="26"/>
      <c r="I45" s="27"/>
      <c r="J45" s="26"/>
      <c r="K45" s="28"/>
      <c r="L45" s="64"/>
      <c r="M45" s="26"/>
      <c r="N45" s="27"/>
      <c r="O45" s="26"/>
      <c r="P45" s="28"/>
      <c r="Q45" s="64"/>
      <c r="R45" s="26"/>
    </row>
    <row r="46" spans="1:18" x14ac:dyDescent="0.2">
      <c r="A46" s="26"/>
      <c r="B46" s="26"/>
      <c r="C46" s="26"/>
      <c r="D46" s="27"/>
      <c r="E46" s="26"/>
      <c r="F46" s="28"/>
      <c r="G46" s="64"/>
      <c r="H46" s="26"/>
      <c r="I46" s="27"/>
      <c r="J46" s="26"/>
      <c r="K46" s="28"/>
      <c r="L46" s="64"/>
      <c r="M46" s="26"/>
      <c r="N46" s="27"/>
      <c r="O46" s="26"/>
      <c r="P46" s="28"/>
      <c r="Q46" s="64"/>
      <c r="R46" s="26"/>
    </row>
    <row r="47" spans="1:18" x14ac:dyDescent="0.2">
      <c r="A47" s="26"/>
      <c r="B47" s="26"/>
      <c r="C47" s="26"/>
      <c r="D47" s="27"/>
      <c r="E47" s="26"/>
      <c r="F47" s="28"/>
      <c r="G47" s="64"/>
      <c r="H47" s="26"/>
      <c r="I47" s="27"/>
      <c r="J47" s="26"/>
      <c r="K47" s="28"/>
      <c r="L47" s="64"/>
      <c r="M47" s="26"/>
      <c r="N47" s="27"/>
      <c r="O47" s="26"/>
      <c r="P47" s="28"/>
      <c r="Q47" s="64"/>
      <c r="R47" s="26"/>
    </row>
    <row r="48" spans="1:18" x14ac:dyDescent="0.2">
      <c r="A48" s="26"/>
      <c r="B48" s="26"/>
      <c r="C48" s="26"/>
      <c r="D48" s="27"/>
      <c r="E48" s="26"/>
      <c r="F48" s="28"/>
      <c r="G48" s="64"/>
      <c r="H48" s="26"/>
      <c r="I48" s="27"/>
      <c r="J48" s="26"/>
      <c r="K48" s="28"/>
      <c r="L48" s="64"/>
      <c r="M48" s="26"/>
      <c r="N48" s="27"/>
      <c r="O48" s="26"/>
      <c r="P48" s="28"/>
      <c r="Q48" s="64"/>
      <c r="R48" s="26"/>
    </row>
    <row r="49" spans="1:18" x14ac:dyDescent="0.2">
      <c r="A49" s="26"/>
      <c r="B49" s="26"/>
      <c r="C49" s="26"/>
      <c r="D49" s="27"/>
      <c r="E49" s="26"/>
      <c r="F49" s="28"/>
      <c r="G49" s="64"/>
      <c r="H49" s="26"/>
      <c r="I49" s="27"/>
      <c r="J49" s="26"/>
      <c r="K49" s="28"/>
      <c r="L49" s="64"/>
      <c r="M49" s="26"/>
      <c r="N49" s="27"/>
      <c r="O49" s="26"/>
      <c r="P49" s="28"/>
      <c r="Q49" s="64"/>
      <c r="R49" s="26"/>
    </row>
    <row r="50" spans="1:18" x14ac:dyDescent="0.2">
      <c r="A50" s="26"/>
      <c r="B50" s="26"/>
      <c r="C50" s="26"/>
      <c r="D50" s="27"/>
      <c r="E50" s="26"/>
      <c r="F50" s="28"/>
      <c r="G50" s="64"/>
      <c r="H50" s="26"/>
      <c r="I50" s="27"/>
      <c r="J50" s="26"/>
      <c r="K50" s="28"/>
      <c r="L50" s="64"/>
      <c r="M50" s="26"/>
      <c r="N50" s="27"/>
      <c r="O50" s="26"/>
      <c r="P50" s="28"/>
      <c r="Q50" s="64"/>
      <c r="R50" s="26"/>
    </row>
    <row r="51" spans="1:18" x14ac:dyDescent="0.2">
      <c r="A51" s="26"/>
      <c r="B51" s="26"/>
      <c r="C51" s="26"/>
      <c r="D51" s="27"/>
      <c r="E51" s="26"/>
      <c r="F51" s="28"/>
      <c r="G51" s="64"/>
      <c r="H51" s="26"/>
      <c r="I51" s="27"/>
      <c r="J51" s="26"/>
      <c r="K51" s="28"/>
      <c r="L51" s="64"/>
      <c r="M51" s="26"/>
      <c r="N51" s="27"/>
      <c r="O51" s="26"/>
      <c r="P51" s="28"/>
      <c r="Q51" s="64"/>
      <c r="R51" s="26"/>
    </row>
    <row r="52" spans="1:18" x14ac:dyDescent="0.2">
      <c r="A52" s="26"/>
      <c r="B52" s="26"/>
      <c r="C52" s="26"/>
      <c r="D52" s="27"/>
      <c r="E52" s="26"/>
      <c r="F52" s="28"/>
      <c r="G52" s="64"/>
      <c r="H52" s="26"/>
      <c r="I52" s="27"/>
      <c r="J52" s="26"/>
      <c r="K52" s="28"/>
      <c r="L52" s="64"/>
      <c r="M52" s="26"/>
      <c r="N52" s="27"/>
      <c r="O52" s="26"/>
      <c r="P52" s="28"/>
      <c r="Q52" s="64"/>
      <c r="R52" s="26"/>
    </row>
    <row r="53" spans="1:18" x14ac:dyDescent="0.2">
      <c r="A53" s="26"/>
      <c r="B53" s="26"/>
      <c r="C53" s="26"/>
      <c r="D53" s="27"/>
      <c r="E53" s="26"/>
      <c r="F53" s="28"/>
      <c r="G53" s="64"/>
      <c r="H53" s="26"/>
      <c r="I53" s="27"/>
      <c r="J53" s="26"/>
      <c r="K53" s="28"/>
      <c r="L53" s="64"/>
      <c r="M53" s="26"/>
      <c r="N53" s="27"/>
      <c r="O53" s="26"/>
      <c r="P53" s="28"/>
      <c r="Q53" s="64"/>
      <c r="R53" s="26"/>
    </row>
    <row r="54" spans="1:18" x14ac:dyDescent="0.2">
      <c r="A54" s="26"/>
      <c r="B54" s="26"/>
      <c r="C54" s="26"/>
      <c r="D54" s="27"/>
      <c r="E54" s="26"/>
      <c r="F54" s="28"/>
      <c r="G54" s="64"/>
      <c r="H54" s="26"/>
      <c r="I54" s="27"/>
      <c r="J54" s="26"/>
      <c r="K54" s="28"/>
      <c r="L54" s="64"/>
      <c r="M54" s="26"/>
      <c r="N54" s="27"/>
      <c r="O54" s="26"/>
      <c r="P54" s="28"/>
      <c r="Q54" s="64"/>
      <c r="R54" s="26"/>
    </row>
    <row r="55" spans="1:18" x14ac:dyDescent="0.2">
      <c r="A55" s="26"/>
      <c r="B55" s="26"/>
      <c r="C55" s="26"/>
      <c r="D55" s="27"/>
      <c r="E55" s="26"/>
      <c r="F55" s="28"/>
      <c r="G55" s="64"/>
      <c r="H55" s="26"/>
      <c r="I55" s="27"/>
      <c r="J55" s="26"/>
      <c r="K55" s="28"/>
      <c r="L55" s="64"/>
      <c r="M55" s="26"/>
      <c r="N55" s="27"/>
      <c r="O55" s="26"/>
      <c r="P55" s="28"/>
      <c r="Q55" s="64"/>
      <c r="R55" s="26"/>
    </row>
    <row r="56" spans="1:18" x14ac:dyDescent="0.2">
      <c r="A56" s="26"/>
      <c r="B56" s="26"/>
      <c r="C56" s="26"/>
      <c r="D56" s="27"/>
      <c r="E56" s="26"/>
      <c r="F56" s="28"/>
      <c r="G56" s="64"/>
      <c r="H56" s="26"/>
      <c r="I56" s="27"/>
      <c r="J56" s="26"/>
      <c r="K56" s="28"/>
      <c r="L56" s="64"/>
      <c r="M56" s="26"/>
      <c r="N56" s="27"/>
      <c r="O56" s="26"/>
      <c r="P56" s="28"/>
      <c r="Q56" s="64"/>
      <c r="R56" s="26"/>
    </row>
    <row r="57" spans="1:18" x14ac:dyDescent="0.2">
      <c r="A57" s="26"/>
      <c r="B57" s="26"/>
      <c r="C57" s="26"/>
      <c r="D57" s="27"/>
      <c r="E57" s="26"/>
      <c r="F57" s="28"/>
      <c r="G57" s="64"/>
      <c r="H57" s="26"/>
      <c r="I57" s="27"/>
      <c r="J57" s="26"/>
      <c r="K57" s="28"/>
      <c r="L57" s="64"/>
      <c r="M57" s="26"/>
      <c r="N57" s="27"/>
      <c r="O57" s="26"/>
      <c r="P57" s="28"/>
      <c r="Q57" s="64"/>
      <c r="R57" s="26"/>
    </row>
    <row r="58" spans="1:18" x14ac:dyDescent="0.2">
      <c r="A58" s="26"/>
      <c r="B58" s="26"/>
      <c r="C58" s="26"/>
      <c r="D58" s="27"/>
      <c r="E58" s="26"/>
      <c r="F58" s="28"/>
      <c r="G58" s="64"/>
      <c r="H58" s="26"/>
      <c r="I58" s="27"/>
      <c r="J58" s="26"/>
      <c r="K58" s="28"/>
      <c r="L58" s="64"/>
      <c r="M58" s="26"/>
      <c r="N58" s="27"/>
      <c r="O58" s="26"/>
      <c r="P58" s="28"/>
      <c r="Q58" s="64"/>
      <c r="R58" s="26"/>
    </row>
    <row r="59" spans="1:18" x14ac:dyDescent="0.2">
      <c r="A59" s="26"/>
      <c r="B59" s="26"/>
      <c r="C59" s="26"/>
      <c r="D59" s="27"/>
      <c r="E59" s="26"/>
      <c r="F59" s="28"/>
      <c r="G59" s="64"/>
      <c r="H59" s="26"/>
      <c r="I59" s="27"/>
      <c r="J59" s="26"/>
      <c r="K59" s="28"/>
      <c r="L59" s="64"/>
      <c r="M59" s="26"/>
      <c r="N59" s="27"/>
      <c r="O59" s="26"/>
      <c r="P59" s="28"/>
      <c r="Q59" s="64"/>
      <c r="R59" s="26"/>
    </row>
    <row r="60" spans="1:18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</row>
    <row r="61" spans="1:18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</row>
    <row r="62" spans="1:18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</row>
    <row r="63" spans="1:18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</row>
  </sheetData>
  <mergeCells count="13">
    <mergeCell ref="A18:B20"/>
    <mergeCell ref="A2:A3"/>
    <mergeCell ref="D13:G13"/>
    <mergeCell ref="I13:L13"/>
    <mergeCell ref="N13:Q13"/>
    <mergeCell ref="D14:D15"/>
    <mergeCell ref="E14:E15"/>
    <mergeCell ref="I14:I15"/>
    <mergeCell ref="J14:J15"/>
    <mergeCell ref="N14:N15"/>
    <mergeCell ref="O14:O15"/>
    <mergeCell ref="A12:B14"/>
    <mergeCell ref="A15:B17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E1D45-D278-4DC2-8269-81216325B83B}">
  <sheetPr codeName="Sheet31">
    <tabColor theme="9" tint="0.59999389629810485"/>
  </sheetPr>
  <dimension ref="A1:R63"/>
  <sheetViews>
    <sheetView workbookViewId="0"/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customWidth="1"/>
    <col min="8" max="8" width="1.6640625" customWidth="1"/>
    <col min="9" max="9" width="13.6640625" customWidth="1"/>
    <col min="10" max="10" width="54.6640625" customWidth="1"/>
    <col min="12" max="12" width="1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customWidth="1"/>
  </cols>
  <sheetData>
    <row r="1" spans="1:1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18" x14ac:dyDescent="0.2">
      <c r="A2" s="247" t="s">
        <v>153</v>
      </c>
      <c r="B2" s="99"/>
      <c r="C2" s="26"/>
      <c r="D2" s="26"/>
      <c r="E2" s="69"/>
      <c r="F2" s="70"/>
      <c r="G2" s="70"/>
      <c r="H2" s="26"/>
      <c r="I2" s="26"/>
      <c r="J2" s="69"/>
      <c r="K2" s="70"/>
      <c r="L2" s="26"/>
      <c r="M2" s="26"/>
      <c r="N2" s="26"/>
      <c r="O2" s="26"/>
      <c r="P2" s="26"/>
      <c r="Q2" s="26"/>
      <c r="R2" s="26"/>
    </row>
    <row r="3" spans="1:18" x14ac:dyDescent="0.2">
      <c r="A3" s="248"/>
      <c r="B3" s="110">
        <f>Main!F7</f>
        <v>1</v>
      </c>
      <c r="C3" s="26"/>
      <c r="D3" s="26"/>
      <c r="E3" s="66"/>
      <c r="F3" s="67"/>
      <c r="G3" s="67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2">
      <c r="A4" s="26"/>
      <c r="B4" s="106" t="s">
        <v>223</v>
      </c>
      <c r="C4" s="109" t="s">
        <v>222</v>
      </c>
      <c r="D4" s="60"/>
      <c r="E4" s="26"/>
      <c r="F4" s="64"/>
      <c r="G4" s="64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2">
      <c r="A5" s="103" t="s">
        <v>192</v>
      </c>
      <c r="B5" s="107">
        <f>F3+(F7)*(IF(B2&lt;&gt;"",B2,B3)-1)</f>
        <v>0</v>
      </c>
      <c r="C5" s="111">
        <f>F3+(F7)*(IF(B2&lt;&gt;"",B2,B3)-1)</f>
        <v>0</v>
      </c>
      <c r="D5" s="105" t="s">
        <v>38</v>
      </c>
      <c r="E5" s="26"/>
      <c r="F5" s="64"/>
      <c r="G5" s="68"/>
      <c r="H5" s="26"/>
      <c r="I5" s="26"/>
      <c r="J5" s="71"/>
      <c r="K5" s="72"/>
      <c r="L5" s="26"/>
      <c r="M5" s="26"/>
      <c r="N5" s="26"/>
      <c r="O5" s="26"/>
      <c r="P5" s="26"/>
      <c r="Q5" s="26"/>
      <c r="R5" s="26"/>
    </row>
    <row r="6" spans="1:18" x14ac:dyDescent="0.2">
      <c r="A6" s="31" t="s">
        <v>193</v>
      </c>
      <c r="B6" s="108">
        <f>F4+(F8)*(IF(B2&lt;&gt;"",B2,B3)-1)</f>
        <v>0</v>
      </c>
      <c r="C6" s="112">
        <f>F4+G4+(F8+G8)*(IF(B2&lt;&gt;"",B2,B3)-1)</f>
        <v>0</v>
      </c>
      <c r="D6" s="33" t="s">
        <v>38</v>
      </c>
      <c r="E6" s="100"/>
      <c r="F6" s="70"/>
      <c r="G6" s="70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2">
      <c r="A7" s="26"/>
      <c r="B7" s="62"/>
      <c r="C7" s="62"/>
      <c r="D7" s="26"/>
      <c r="E7" s="30"/>
      <c r="F7" s="64"/>
      <c r="G7" s="64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2">
      <c r="A8" s="26"/>
      <c r="B8" s="26"/>
      <c r="C8" s="26"/>
      <c r="D8" s="26"/>
      <c r="E8" s="31"/>
      <c r="F8" s="68"/>
      <c r="G8" s="68"/>
      <c r="H8" s="26"/>
      <c r="I8" s="26"/>
      <c r="J8" s="71"/>
      <c r="K8" s="72"/>
      <c r="L8" s="26"/>
      <c r="M8" s="26"/>
      <c r="N8" s="26"/>
      <c r="O8" s="26"/>
      <c r="P8" s="26"/>
      <c r="Q8" s="26"/>
      <c r="R8" s="26"/>
    </row>
    <row r="9" spans="1:18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1:18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18" x14ac:dyDescent="0.2">
      <c r="A11" s="26"/>
      <c r="B11" s="26"/>
      <c r="C11" s="26"/>
      <c r="D11" s="42"/>
      <c r="E11" s="43"/>
      <c r="F11" s="76"/>
      <c r="G11" s="44"/>
      <c r="H11" s="136"/>
      <c r="I11" s="42"/>
      <c r="J11" s="43"/>
      <c r="K11" s="76"/>
      <c r="L11" s="44"/>
      <c r="M11" s="136"/>
      <c r="N11" s="42"/>
      <c r="O11" s="43"/>
      <c r="P11" s="44"/>
      <c r="Q11" s="44"/>
      <c r="R11" s="26"/>
    </row>
    <row r="12" spans="1:18" x14ac:dyDescent="0.2">
      <c r="A12" s="26"/>
      <c r="B12" s="26"/>
      <c r="C12" s="26"/>
      <c r="D12" s="35" t="s">
        <v>112</v>
      </c>
      <c r="E12" s="36"/>
      <c r="F12" s="77">
        <f>SUM(F16:F59)</f>
        <v>0</v>
      </c>
      <c r="G12" s="94">
        <f>SUM(G16:G59)</f>
        <v>0</v>
      </c>
      <c r="H12" s="136"/>
      <c r="I12" s="35" t="s">
        <v>112</v>
      </c>
      <c r="J12" s="36"/>
      <c r="K12" s="77">
        <f>SUM(K16:K59)</f>
        <v>0</v>
      </c>
      <c r="L12" s="94">
        <f>SUM(L16:L59)</f>
        <v>0</v>
      </c>
      <c r="M12" s="136"/>
      <c r="N12" s="35"/>
      <c r="O12" s="36"/>
      <c r="P12" s="37">
        <f>SUM(P16:P59)</f>
        <v>0</v>
      </c>
      <c r="Q12" s="94">
        <f>SUM(Q16:Q59)</f>
        <v>0</v>
      </c>
      <c r="R12" s="26"/>
    </row>
    <row r="13" spans="1:18" x14ac:dyDescent="0.2">
      <c r="A13" s="26"/>
      <c r="B13" s="26"/>
      <c r="C13" s="26"/>
      <c r="D13" s="253"/>
      <c r="E13" s="254"/>
      <c r="F13" s="254"/>
      <c r="G13" s="255"/>
      <c r="H13" s="136"/>
      <c r="I13" s="253"/>
      <c r="J13" s="254"/>
      <c r="K13" s="254"/>
      <c r="L13" s="255"/>
      <c r="M13" s="136"/>
      <c r="N13" s="253"/>
      <c r="O13" s="254"/>
      <c r="P13" s="254"/>
      <c r="Q13" s="255"/>
      <c r="R13" s="30"/>
    </row>
    <row r="14" spans="1:18" x14ac:dyDescent="0.2">
      <c r="A14" s="26"/>
      <c r="B14" s="26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61" t="s">
        <v>83</v>
      </c>
      <c r="J14" s="262" t="s">
        <v>16</v>
      </c>
      <c r="K14" s="138" t="s">
        <v>17</v>
      </c>
      <c r="L14" s="138" t="s">
        <v>215</v>
      </c>
      <c r="M14" s="136"/>
      <c r="N14" s="249" t="s">
        <v>83</v>
      </c>
      <c r="O14" s="251"/>
      <c r="P14" s="39"/>
      <c r="Q14" s="39" t="s">
        <v>215</v>
      </c>
      <c r="R14" s="26"/>
    </row>
    <row r="15" spans="1:18" x14ac:dyDescent="0.2">
      <c r="A15" s="26"/>
      <c r="B15" s="26"/>
      <c r="C15" s="26"/>
      <c r="D15" s="250"/>
      <c r="E15" s="252"/>
      <c r="F15" s="41" t="s">
        <v>18</v>
      </c>
      <c r="G15" s="41" t="s">
        <v>18</v>
      </c>
      <c r="H15" s="26"/>
      <c r="I15" s="250"/>
      <c r="J15" s="252"/>
      <c r="K15" s="41" t="s">
        <v>18</v>
      </c>
      <c r="L15" s="41" t="s">
        <v>18</v>
      </c>
      <c r="M15" s="26"/>
      <c r="N15" s="250"/>
      <c r="O15" s="252"/>
      <c r="P15" s="41"/>
      <c r="Q15" s="41" t="s">
        <v>18</v>
      </c>
      <c r="R15" s="26"/>
    </row>
    <row r="16" spans="1:18" x14ac:dyDescent="0.2">
      <c r="A16" s="26"/>
      <c r="B16" s="26"/>
      <c r="C16" s="26"/>
      <c r="D16" s="27"/>
      <c r="E16" s="26"/>
      <c r="F16" s="28"/>
      <c r="G16" s="28"/>
      <c r="H16" s="26"/>
      <c r="I16" s="27"/>
      <c r="J16" s="26"/>
      <c r="K16" s="28"/>
      <c r="L16" s="28"/>
      <c r="M16" s="26"/>
      <c r="N16" s="27"/>
      <c r="O16" s="26"/>
      <c r="P16" s="28"/>
      <c r="Q16" s="28"/>
      <c r="R16" s="26"/>
    </row>
    <row r="17" spans="1:18" x14ac:dyDescent="0.2">
      <c r="A17" s="26"/>
      <c r="B17" s="26"/>
      <c r="C17" s="26"/>
      <c r="D17" s="27"/>
      <c r="E17" s="26"/>
      <c r="F17" s="28"/>
      <c r="G17" s="28"/>
      <c r="H17" s="26"/>
      <c r="I17" s="27"/>
      <c r="J17" s="26"/>
      <c r="K17" s="28"/>
      <c r="L17" s="28"/>
      <c r="M17" s="26"/>
      <c r="N17" s="27"/>
      <c r="O17" s="26"/>
      <c r="P17" s="28"/>
      <c r="Q17" s="64"/>
      <c r="R17" s="26"/>
    </row>
    <row r="18" spans="1:18" x14ac:dyDescent="0.2">
      <c r="A18" s="26"/>
      <c r="B18" s="26"/>
      <c r="C18" s="26"/>
      <c r="D18" s="27"/>
      <c r="E18" s="26"/>
      <c r="F18" s="28"/>
      <c r="G18" s="28"/>
      <c r="H18" s="26"/>
      <c r="I18" s="27"/>
      <c r="J18" s="26"/>
      <c r="K18" s="28"/>
      <c r="L18" s="28"/>
      <c r="M18" s="26"/>
      <c r="N18" s="27"/>
      <c r="O18" s="26"/>
      <c r="P18" s="28"/>
      <c r="Q18" s="64"/>
      <c r="R18" s="26"/>
    </row>
    <row r="19" spans="1:18" x14ac:dyDescent="0.2">
      <c r="A19" s="26"/>
      <c r="B19" s="26"/>
      <c r="C19" s="26"/>
      <c r="D19" s="27"/>
      <c r="E19" s="26"/>
      <c r="F19" s="28"/>
      <c r="G19" s="28"/>
      <c r="H19" s="26"/>
      <c r="I19" s="27"/>
      <c r="J19" s="26"/>
      <c r="K19" s="28"/>
      <c r="L19" s="28"/>
      <c r="M19" s="26"/>
      <c r="N19" s="27"/>
      <c r="O19" s="26"/>
      <c r="P19" s="28"/>
      <c r="Q19" s="64"/>
      <c r="R19" s="26"/>
    </row>
    <row r="20" spans="1:18" x14ac:dyDescent="0.2">
      <c r="A20" s="26"/>
      <c r="B20" s="26"/>
      <c r="C20" s="26"/>
      <c r="D20" s="27"/>
      <c r="E20" s="26"/>
      <c r="F20" s="28"/>
      <c r="G20" s="28"/>
      <c r="H20" s="26"/>
      <c r="I20" s="27"/>
      <c r="J20" s="26"/>
      <c r="K20" s="28"/>
      <c r="L20" s="28"/>
      <c r="M20" s="26"/>
      <c r="N20" s="27"/>
      <c r="O20" s="26"/>
      <c r="P20" s="28"/>
      <c r="Q20" s="64"/>
      <c r="R20" s="26"/>
    </row>
    <row r="21" spans="1:18" x14ac:dyDescent="0.2">
      <c r="A21" s="26"/>
      <c r="B21" s="26"/>
      <c r="C21" s="26"/>
      <c r="D21" s="27"/>
      <c r="E21" s="26"/>
      <c r="F21" s="28"/>
      <c r="G21" s="28"/>
      <c r="H21" s="26"/>
      <c r="I21" s="27"/>
      <c r="J21" s="26"/>
      <c r="K21" s="28"/>
      <c r="L21" s="28"/>
      <c r="M21" s="26"/>
      <c r="N21" s="27"/>
      <c r="O21" s="26"/>
      <c r="P21" s="28"/>
      <c r="Q21" s="64"/>
      <c r="R21" s="26"/>
    </row>
    <row r="22" spans="1:18" x14ac:dyDescent="0.2">
      <c r="A22" s="26"/>
      <c r="B22" s="26"/>
      <c r="C22" s="26"/>
      <c r="D22" s="27"/>
      <c r="E22" s="26"/>
      <c r="F22" s="28"/>
      <c r="G22" s="28"/>
      <c r="H22" s="26"/>
      <c r="I22" s="27"/>
      <c r="J22" s="26"/>
      <c r="K22" s="28"/>
      <c r="L22" s="28"/>
      <c r="M22" s="26"/>
      <c r="N22" s="27"/>
      <c r="O22" s="26"/>
      <c r="P22" s="28"/>
      <c r="Q22" s="64"/>
      <c r="R22" s="26"/>
    </row>
    <row r="23" spans="1:18" x14ac:dyDescent="0.2">
      <c r="A23" s="26"/>
      <c r="B23" s="26"/>
      <c r="C23" s="26"/>
      <c r="D23" s="27"/>
      <c r="E23" s="26"/>
      <c r="F23" s="28"/>
      <c r="G23" s="28"/>
      <c r="H23" s="26"/>
      <c r="I23" s="27"/>
      <c r="J23" s="26"/>
      <c r="K23" s="28"/>
      <c r="L23" s="28"/>
      <c r="M23" s="26"/>
      <c r="N23" s="27"/>
      <c r="O23" s="26"/>
      <c r="P23" s="28"/>
      <c r="Q23" s="64"/>
      <c r="R23" s="26"/>
    </row>
    <row r="24" spans="1:18" x14ac:dyDescent="0.2">
      <c r="A24" s="26"/>
      <c r="B24" s="26"/>
      <c r="C24" s="26"/>
      <c r="D24" s="27"/>
      <c r="E24" s="26"/>
      <c r="F24" s="28"/>
      <c r="G24" s="28"/>
      <c r="H24" s="26"/>
      <c r="I24" s="27"/>
      <c r="J24" s="26"/>
      <c r="K24" s="28"/>
      <c r="L24" s="28"/>
      <c r="M24" s="26"/>
      <c r="N24" s="27"/>
      <c r="O24" s="26"/>
      <c r="P24" s="28"/>
      <c r="Q24" s="64"/>
      <c r="R24" s="26"/>
    </row>
    <row r="25" spans="1:18" x14ac:dyDescent="0.2">
      <c r="A25" s="26"/>
      <c r="B25" s="26"/>
      <c r="C25" s="26"/>
      <c r="D25" s="27"/>
      <c r="E25" s="26"/>
      <c r="F25" s="28"/>
      <c r="G25" s="28"/>
      <c r="H25" s="26"/>
      <c r="I25" s="27"/>
      <c r="J25" s="26"/>
      <c r="K25" s="28"/>
      <c r="L25" s="28"/>
      <c r="M25" s="26"/>
      <c r="N25" s="27"/>
      <c r="O25" s="26"/>
      <c r="P25" s="28"/>
      <c r="Q25" s="64"/>
      <c r="R25" s="26"/>
    </row>
    <row r="26" spans="1:18" x14ac:dyDescent="0.2">
      <c r="A26" s="26"/>
      <c r="B26" s="26"/>
      <c r="C26" s="26"/>
      <c r="D26" s="27"/>
      <c r="E26" s="26"/>
      <c r="F26" s="28"/>
      <c r="G26" s="28"/>
      <c r="H26" s="26"/>
      <c r="I26" s="27"/>
      <c r="J26" s="26"/>
      <c r="K26" s="28"/>
      <c r="L26" s="28"/>
      <c r="M26" s="26"/>
      <c r="N26" s="27"/>
      <c r="O26" s="26"/>
      <c r="P26" s="28"/>
      <c r="Q26" s="64"/>
      <c r="R26" s="26"/>
    </row>
    <row r="27" spans="1:18" x14ac:dyDescent="0.2">
      <c r="A27" s="26"/>
      <c r="B27" s="26"/>
      <c r="C27" s="26"/>
      <c r="D27" s="27"/>
      <c r="E27" s="26"/>
      <c r="F27" s="28"/>
      <c r="G27" s="28"/>
      <c r="H27" s="26"/>
      <c r="I27" s="27"/>
      <c r="J27" s="26"/>
      <c r="K27" s="28"/>
      <c r="L27" s="28"/>
      <c r="M27" s="26"/>
      <c r="N27" s="27"/>
      <c r="O27" s="26"/>
      <c r="P27" s="28"/>
      <c r="Q27" s="64"/>
      <c r="R27" s="26"/>
    </row>
    <row r="28" spans="1:18" x14ac:dyDescent="0.2">
      <c r="A28" s="26"/>
      <c r="B28" s="26"/>
      <c r="C28" s="26"/>
      <c r="D28" s="27"/>
      <c r="E28" s="26"/>
      <c r="F28" s="28"/>
      <c r="G28" s="28"/>
      <c r="H28" s="26"/>
      <c r="I28" s="27"/>
      <c r="J28" s="26"/>
      <c r="K28" s="28"/>
      <c r="L28" s="28"/>
      <c r="M28" s="26"/>
      <c r="N28" s="27"/>
      <c r="O28" s="26"/>
      <c r="P28" s="28"/>
      <c r="Q28" s="64"/>
      <c r="R28" s="26"/>
    </row>
    <row r="29" spans="1:18" x14ac:dyDescent="0.2">
      <c r="A29" s="26"/>
      <c r="B29" s="26"/>
      <c r="C29" s="26"/>
      <c r="D29" s="27"/>
      <c r="E29" s="26"/>
      <c r="F29" s="28"/>
      <c r="G29" s="28"/>
      <c r="H29" s="26"/>
      <c r="I29" s="27"/>
      <c r="J29" s="26"/>
      <c r="K29" s="28"/>
      <c r="L29" s="28"/>
      <c r="M29" s="26"/>
      <c r="N29" s="27"/>
      <c r="O29" s="26"/>
      <c r="P29" s="28"/>
      <c r="Q29" s="28"/>
      <c r="R29" s="26"/>
    </row>
    <row r="30" spans="1:18" x14ac:dyDescent="0.2">
      <c r="A30" s="26"/>
      <c r="B30" s="26"/>
      <c r="C30" s="26"/>
      <c r="D30" s="27"/>
      <c r="E30" s="26"/>
      <c r="F30" s="28"/>
      <c r="G30" s="28"/>
      <c r="H30" s="26"/>
      <c r="I30" s="27"/>
      <c r="J30" s="26"/>
      <c r="K30" s="28"/>
      <c r="L30" s="28"/>
      <c r="M30" s="26"/>
      <c r="N30" s="27"/>
      <c r="O30" s="26"/>
      <c r="P30" s="28"/>
      <c r="Q30" s="28"/>
      <c r="R30" s="26"/>
    </row>
    <row r="31" spans="1:18" x14ac:dyDescent="0.2">
      <c r="A31" s="26"/>
      <c r="B31" s="26"/>
      <c r="C31" s="26"/>
      <c r="D31" s="27"/>
      <c r="E31" s="26"/>
      <c r="F31" s="28"/>
      <c r="G31" s="28"/>
      <c r="H31" s="26"/>
      <c r="I31" s="27"/>
      <c r="J31" s="26"/>
      <c r="K31" s="28"/>
      <c r="L31" s="28"/>
      <c r="M31" s="26"/>
      <c r="N31" s="27"/>
      <c r="O31" s="26"/>
      <c r="P31" s="28"/>
      <c r="Q31" s="28"/>
      <c r="R31" s="26"/>
    </row>
    <row r="32" spans="1:18" x14ac:dyDescent="0.2">
      <c r="A32" s="26"/>
      <c r="B32" s="26"/>
      <c r="C32" s="26"/>
      <c r="D32" s="27"/>
      <c r="E32" s="26"/>
      <c r="F32" s="28"/>
      <c r="G32" s="28"/>
      <c r="H32" s="26"/>
      <c r="I32" s="27"/>
      <c r="J32" s="26"/>
      <c r="K32" s="28"/>
      <c r="L32" s="28"/>
      <c r="M32" s="26"/>
      <c r="N32" s="27"/>
      <c r="O32" s="26"/>
      <c r="P32" s="28"/>
      <c r="Q32" s="28"/>
      <c r="R32" s="26"/>
    </row>
    <row r="33" spans="1:18" x14ac:dyDescent="0.2">
      <c r="A33" s="26"/>
      <c r="B33" s="26"/>
      <c r="C33" s="26"/>
      <c r="D33" s="27"/>
      <c r="E33" s="26"/>
      <c r="F33" s="28"/>
      <c r="G33" s="28"/>
      <c r="H33" s="26"/>
      <c r="I33" s="27"/>
      <c r="J33" s="26"/>
      <c r="K33" s="28"/>
      <c r="L33" s="28"/>
      <c r="M33" s="26"/>
      <c r="N33" s="27"/>
      <c r="O33" s="26"/>
      <c r="P33" s="28"/>
      <c r="Q33" s="28"/>
      <c r="R33" s="26"/>
    </row>
    <row r="34" spans="1:18" x14ac:dyDescent="0.2">
      <c r="A34" s="26"/>
      <c r="B34" s="26"/>
      <c r="C34" s="26"/>
      <c r="D34" s="27"/>
      <c r="E34" s="26"/>
      <c r="F34" s="28"/>
      <c r="G34" s="28"/>
      <c r="H34" s="26"/>
      <c r="I34" s="27"/>
      <c r="J34" s="26"/>
      <c r="K34" s="28"/>
      <c r="L34" s="28"/>
      <c r="M34" s="26"/>
      <c r="N34" s="27"/>
      <c r="O34" s="26"/>
      <c r="P34" s="28"/>
      <c r="Q34" s="28"/>
      <c r="R34" s="26"/>
    </row>
    <row r="35" spans="1:18" x14ac:dyDescent="0.2">
      <c r="A35" s="26"/>
      <c r="B35" s="26"/>
      <c r="C35" s="26"/>
      <c r="D35" s="27"/>
      <c r="E35" s="26"/>
      <c r="F35" s="28"/>
      <c r="G35" s="28"/>
      <c r="H35" s="26"/>
      <c r="I35" s="27"/>
      <c r="J35" s="26"/>
      <c r="K35" s="28"/>
      <c r="L35" s="28"/>
      <c r="M35" s="26"/>
      <c r="N35" s="27"/>
      <c r="O35" s="26"/>
      <c r="P35" s="28"/>
      <c r="Q35" s="28"/>
      <c r="R35" s="26"/>
    </row>
    <row r="36" spans="1:18" x14ac:dyDescent="0.2">
      <c r="A36" s="26"/>
      <c r="B36" s="26"/>
      <c r="C36" s="26"/>
      <c r="D36" s="27"/>
      <c r="E36" s="26"/>
      <c r="F36" s="28"/>
      <c r="G36" s="28"/>
      <c r="H36" s="26"/>
      <c r="I36" s="27"/>
      <c r="J36" s="26"/>
      <c r="K36" s="28"/>
      <c r="L36" s="28"/>
      <c r="M36" s="26"/>
      <c r="N36" s="27"/>
      <c r="O36" s="26"/>
      <c r="P36" s="28"/>
      <c r="Q36" s="64"/>
      <c r="R36" s="26"/>
    </row>
    <row r="37" spans="1:18" x14ac:dyDescent="0.2">
      <c r="A37" s="26"/>
      <c r="B37" s="26"/>
      <c r="C37" s="26"/>
      <c r="D37" s="27"/>
      <c r="E37" s="26"/>
      <c r="F37" s="28"/>
      <c r="G37" s="28"/>
      <c r="H37" s="26"/>
      <c r="I37" s="27"/>
      <c r="J37" s="26"/>
      <c r="K37" s="28"/>
      <c r="L37" s="28"/>
      <c r="M37" s="26"/>
      <c r="N37" s="27"/>
      <c r="O37" s="26"/>
      <c r="P37" s="28"/>
      <c r="Q37" s="64"/>
      <c r="R37" s="26"/>
    </row>
    <row r="38" spans="1:18" x14ac:dyDescent="0.2">
      <c r="A38" s="26"/>
      <c r="B38" s="26"/>
      <c r="C38" s="26"/>
      <c r="D38" s="27"/>
      <c r="E38" s="26"/>
      <c r="F38" s="28"/>
      <c r="G38" s="28"/>
      <c r="H38" s="26"/>
      <c r="I38" s="27"/>
      <c r="J38" s="26"/>
      <c r="K38" s="28"/>
      <c r="L38" s="28"/>
      <c r="M38" s="26"/>
      <c r="N38" s="27"/>
      <c r="O38" s="26"/>
      <c r="P38" s="28"/>
      <c r="Q38" s="64"/>
      <c r="R38" s="26"/>
    </row>
    <row r="39" spans="1:18" x14ac:dyDescent="0.2">
      <c r="A39" s="26"/>
      <c r="B39" s="26"/>
      <c r="C39" s="26"/>
      <c r="D39" s="27"/>
      <c r="E39" s="26"/>
      <c r="F39" s="28"/>
      <c r="G39" s="28"/>
      <c r="H39" s="26"/>
      <c r="I39" s="27"/>
      <c r="J39" s="26"/>
      <c r="K39" s="28"/>
      <c r="L39" s="28"/>
      <c r="M39" s="26"/>
      <c r="N39" s="27"/>
      <c r="O39" s="26"/>
      <c r="P39" s="28"/>
      <c r="Q39" s="64"/>
      <c r="R39" s="26"/>
    </row>
    <row r="40" spans="1:18" x14ac:dyDescent="0.2">
      <c r="A40" s="26"/>
      <c r="B40" s="26"/>
      <c r="C40" s="26"/>
      <c r="D40" s="27"/>
      <c r="E40" s="26"/>
      <c r="F40" s="28"/>
      <c r="G40" s="28"/>
      <c r="H40" s="26"/>
      <c r="I40" s="27"/>
      <c r="J40" s="26"/>
      <c r="K40" s="28"/>
      <c r="L40" s="28"/>
      <c r="M40" s="26"/>
      <c r="N40" s="27"/>
      <c r="O40" s="26"/>
      <c r="P40" s="28"/>
      <c r="Q40" s="28"/>
      <c r="R40" s="26"/>
    </row>
    <row r="41" spans="1:18" x14ac:dyDescent="0.2">
      <c r="A41" s="26"/>
      <c r="B41" s="26"/>
      <c r="C41" s="26"/>
      <c r="D41" s="27"/>
      <c r="E41" s="26"/>
      <c r="F41" s="28"/>
      <c r="G41" s="28"/>
      <c r="H41" s="26"/>
      <c r="I41" s="27"/>
      <c r="J41" s="26"/>
      <c r="K41" s="28"/>
      <c r="L41" s="28"/>
      <c r="M41" s="26"/>
      <c r="N41" s="27"/>
      <c r="O41" s="26"/>
      <c r="P41" s="28"/>
      <c r="Q41" s="28"/>
      <c r="R41" s="26"/>
    </row>
    <row r="42" spans="1:18" x14ac:dyDescent="0.2">
      <c r="A42" s="26"/>
      <c r="B42" s="26"/>
      <c r="C42" s="26"/>
      <c r="D42" s="27"/>
      <c r="E42" s="26"/>
      <c r="F42" s="28"/>
      <c r="G42" s="28"/>
      <c r="H42" s="26"/>
      <c r="I42" s="27"/>
      <c r="J42" s="26"/>
      <c r="K42" s="28"/>
      <c r="L42" s="28"/>
      <c r="M42" s="26"/>
      <c r="N42" s="27"/>
      <c r="O42" s="26"/>
      <c r="P42" s="28"/>
      <c r="Q42" s="28"/>
      <c r="R42" s="26"/>
    </row>
    <row r="43" spans="1:18" x14ac:dyDescent="0.2">
      <c r="A43" s="26"/>
      <c r="B43" s="26"/>
      <c r="C43" s="26"/>
      <c r="D43" s="27"/>
      <c r="E43" s="26"/>
      <c r="F43" s="28"/>
      <c r="G43" s="28"/>
      <c r="H43" s="26"/>
      <c r="I43" s="27"/>
      <c r="J43" s="26"/>
      <c r="K43" s="28"/>
      <c r="L43" s="28"/>
      <c r="M43" s="26"/>
      <c r="N43" s="27"/>
      <c r="O43" s="26"/>
      <c r="P43" s="28"/>
      <c r="Q43" s="64"/>
      <c r="R43" s="26"/>
    </row>
    <row r="44" spans="1:18" x14ac:dyDescent="0.2">
      <c r="A44" s="26"/>
      <c r="B44" s="26"/>
      <c r="C44" s="26"/>
      <c r="D44" s="27"/>
      <c r="E44" s="26"/>
      <c r="F44" s="28"/>
      <c r="G44" s="28"/>
      <c r="H44" s="26"/>
      <c r="I44" s="27"/>
      <c r="J44" s="26"/>
      <c r="K44" s="28"/>
      <c r="L44" s="28"/>
      <c r="M44" s="26"/>
      <c r="N44" s="27"/>
      <c r="O44" s="26"/>
      <c r="P44" s="28"/>
      <c r="Q44" s="28"/>
      <c r="R44" s="26"/>
    </row>
    <row r="45" spans="1:18" x14ac:dyDescent="0.2">
      <c r="A45" s="26"/>
      <c r="B45" s="26"/>
      <c r="C45" s="26"/>
      <c r="D45" s="27"/>
      <c r="E45" s="26"/>
      <c r="F45" s="28"/>
      <c r="G45" s="28"/>
      <c r="H45" s="26"/>
      <c r="I45" s="27"/>
      <c r="J45" s="26"/>
      <c r="K45" s="28"/>
      <c r="L45" s="28"/>
      <c r="M45" s="26"/>
      <c r="N45" s="27"/>
      <c r="O45" s="26"/>
      <c r="P45" s="28"/>
      <c r="Q45" s="28"/>
      <c r="R45" s="26"/>
    </row>
    <row r="46" spans="1:18" x14ac:dyDescent="0.2">
      <c r="A46" s="26"/>
      <c r="B46" s="26"/>
      <c r="C46" s="26"/>
      <c r="D46" s="27"/>
      <c r="E46" s="26"/>
      <c r="F46" s="28"/>
      <c r="G46" s="28"/>
      <c r="H46" s="26"/>
      <c r="I46" s="27"/>
      <c r="J46" s="26"/>
      <c r="K46" s="28"/>
      <c r="L46" s="28"/>
      <c r="M46" s="26"/>
      <c r="N46" s="27"/>
      <c r="O46" s="26"/>
      <c r="P46" s="28"/>
      <c r="Q46" s="28"/>
      <c r="R46" s="26"/>
    </row>
    <row r="47" spans="1:18" x14ac:dyDescent="0.2">
      <c r="A47" s="26"/>
      <c r="B47" s="26"/>
      <c r="C47" s="26"/>
      <c r="D47" s="27"/>
      <c r="E47" s="26"/>
      <c r="F47" s="28"/>
      <c r="G47" s="28"/>
      <c r="H47" s="26"/>
      <c r="I47" s="27"/>
      <c r="J47" s="26"/>
      <c r="K47" s="28"/>
      <c r="L47" s="28"/>
      <c r="M47" s="26"/>
      <c r="N47" s="27"/>
      <c r="O47" s="26"/>
      <c r="P47" s="28"/>
      <c r="Q47" s="64"/>
      <c r="R47" s="26"/>
    </row>
    <row r="48" spans="1:18" x14ac:dyDescent="0.2">
      <c r="A48" s="26"/>
      <c r="B48" s="26"/>
      <c r="C48" s="26"/>
      <c r="D48" s="27"/>
      <c r="E48" s="26"/>
      <c r="F48" s="28"/>
      <c r="G48" s="28"/>
      <c r="H48" s="26"/>
      <c r="I48" s="27"/>
      <c r="J48" s="26"/>
      <c r="K48" s="28"/>
      <c r="L48" s="28"/>
      <c r="M48" s="26"/>
      <c r="N48" s="27"/>
      <c r="O48" s="26"/>
      <c r="P48" s="28"/>
      <c r="Q48" s="28"/>
      <c r="R48" s="26"/>
    </row>
    <row r="49" spans="1:18" x14ac:dyDescent="0.2">
      <c r="A49" s="26"/>
      <c r="B49" s="26"/>
      <c r="C49" s="26"/>
      <c r="D49" s="27"/>
      <c r="E49" s="26"/>
      <c r="F49" s="28"/>
      <c r="G49" s="28"/>
      <c r="H49" s="26"/>
      <c r="I49" s="27"/>
      <c r="J49" s="26"/>
      <c r="K49" s="28"/>
      <c r="L49" s="28"/>
      <c r="M49" s="26"/>
      <c r="N49" s="27"/>
      <c r="O49" s="26"/>
      <c r="P49" s="28"/>
      <c r="Q49" s="28"/>
      <c r="R49" s="26"/>
    </row>
    <row r="50" spans="1:18" x14ac:dyDescent="0.2">
      <c r="A50" s="26"/>
      <c r="B50" s="26"/>
      <c r="C50" s="26"/>
      <c r="D50" s="27"/>
      <c r="E50" s="26"/>
      <c r="F50" s="28"/>
      <c r="G50" s="28"/>
      <c r="H50" s="26"/>
      <c r="I50" s="27"/>
      <c r="J50" s="26"/>
      <c r="K50" s="28"/>
      <c r="L50" s="28"/>
      <c r="M50" s="26"/>
      <c r="N50" s="27"/>
      <c r="O50" s="26"/>
      <c r="P50" s="28"/>
      <c r="Q50" s="28"/>
      <c r="R50" s="26"/>
    </row>
    <row r="51" spans="1:18" x14ac:dyDescent="0.2">
      <c r="A51" s="26"/>
      <c r="B51" s="26"/>
      <c r="C51" s="26"/>
      <c r="D51" s="27"/>
      <c r="E51" s="26"/>
      <c r="F51" s="28"/>
      <c r="G51" s="28"/>
      <c r="H51" s="26"/>
      <c r="I51" s="27"/>
      <c r="J51" s="26"/>
      <c r="K51" s="28"/>
      <c r="L51" s="28"/>
      <c r="M51" s="26"/>
      <c r="N51" s="27"/>
      <c r="O51" s="26"/>
      <c r="P51" s="28"/>
      <c r="Q51" s="64"/>
      <c r="R51" s="26"/>
    </row>
    <row r="52" spans="1:18" x14ac:dyDescent="0.2">
      <c r="A52" s="26"/>
      <c r="B52" s="26"/>
      <c r="C52" s="26"/>
      <c r="D52" s="27"/>
      <c r="E52" s="26"/>
      <c r="F52" s="28"/>
      <c r="G52" s="28"/>
      <c r="H52" s="26"/>
      <c r="I52" s="27"/>
      <c r="J52" s="26"/>
      <c r="K52" s="28"/>
      <c r="L52" s="28"/>
      <c r="M52" s="26"/>
      <c r="N52" s="27"/>
      <c r="O52" s="26"/>
      <c r="P52" s="28"/>
      <c r="Q52" s="28"/>
      <c r="R52" s="26"/>
    </row>
    <row r="53" spans="1:18" x14ac:dyDescent="0.2">
      <c r="A53" s="26"/>
      <c r="B53" s="26"/>
      <c r="C53" s="26"/>
      <c r="D53" s="27"/>
      <c r="E53" s="26"/>
      <c r="F53" s="28"/>
      <c r="G53" s="28"/>
      <c r="H53" s="26"/>
      <c r="I53" s="27"/>
      <c r="J53" s="26"/>
      <c r="K53" s="28"/>
      <c r="L53" s="28"/>
      <c r="M53" s="26"/>
      <c r="N53" s="27"/>
      <c r="O53" s="26"/>
      <c r="P53" s="28"/>
      <c r="Q53" s="28"/>
      <c r="R53" s="26"/>
    </row>
    <row r="54" spans="1:18" x14ac:dyDescent="0.2">
      <c r="A54" s="26"/>
      <c r="B54" s="26"/>
      <c r="C54" s="26"/>
      <c r="D54" s="27"/>
      <c r="E54" s="26"/>
      <c r="F54" s="28"/>
      <c r="G54" s="28"/>
      <c r="H54" s="26"/>
      <c r="I54" s="27"/>
      <c r="J54" s="26"/>
      <c r="K54" s="28"/>
      <c r="L54" s="28"/>
      <c r="M54" s="26"/>
      <c r="N54" s="27"/>
      <c r="O54" s="26"/>
      <c r="P54" s="28"/>
      <c r="Q54" s="28"/>
      <c r="R54" s="26"/>
    </row>
    <row r="55" spans="1:18" x14ac:dyDescent="0.2">
      <c r="A55" s="26"/>
      <c r="B55" s="26"/>
      <c r="C55" s="26"/>
      <c r="D55" s="27"/>
      <c r="E55" s="26"/>
      <c r="F55" s="28"/>
      <c r="G55" s="28"/>
      <c r="H55" s="26"/>
      <c r="I55" s="27"/>
      <c r="J55" s="26"/>
      <c r="K55" s="28"/>
      <c r="L55" s="28"/>
      <c r="M55" s="26"/>
      <c r="N55" s="27"/>
      <c r="O55" s="26"/>
      <c r="P55" s="28"/>
      <c r="Q55" s="64"/>
      <c r="R55" s="26"/>
    </row>
    <row r="56" spans="1:18" x14ac:dyDescent="0.2">
      <c r="A56" s="26"/>
      <c r="B56" s="26"/>
      <c r="C56" s="26"/>
      <c r="D56" s="27"/>
      <c r="E56" s="26"/>
      <c r="F56" s="28"/>
      <c r="G56" s="28"/>
      <c r="H56" s="26"/>
      <c r="I56" s="27"/>
      <c r="J56" s="26"/>
      <c r="K56" s="28"/>
      <c r="L56" s="28"/>
      <c r="M56" s="26"/>
      <c r="N56" s="27"/>
      <c r="O56" s="26"/>
      <c r="P56" s="28"/>
      <c r="Q56" s="28"/>
      <c r="R56" s="26"/>
    </row>
    <row r="57" spans="1:18" x14ac:dyDescent="0.2">
      <c r="A57" s="26"/>
      <c r="B57" s="26"/>
      <c r="C57" s="26"/>
      <c r="D57" s="27"/>
      <c r="E57" s="26"/>
      <c r="F57" s="28"/>
      <c r="G57" s="28"/>
      <c r="H57" s="26"/>
      <c r="I57" s="27"/>
      <c r="J57" s="26"/>
      <c r="K57" s="28"/>
      <c r="L57" s="28"/>
      <c r="M57" s="26"/>
      <c r="N57" s="27"/>
      <c r="O57" s="26"/>
      <c r="P57" s="28"/>
      <c r="Q57" s="28"/>
      <c r="R57" s="26"/>
    </row>
    <row r="58" spans="1:18" x14ac:dyDescent="0.2">
      <c r="A58" s="26"/>
      <c r="B58" s="26"/>
      <c r="C58" s="26"/>
      <c r="D58" s="27"/>
      <c r="E58" s="26"/>
      <c r="F58" s="28"/>
      <c r="G58" s="28"/>
      <c r="H58" s="26"/>
      <c r="I58" s="27"/>
      <c r="J58" s="26"/>
      <c r="K58" s="28"/>
      <c r="L58" s="28"/>
      <c r="M58" s="26"/>
      <c r="N58" s="27"/>
      <c r="O58" s="26"/>
      <c r="P58" s="28"/>
      <c r="Q58" s="28"/>
      <c r="R58" s="26"/>
    </row>
    <row r="59" spans="1:18" x14ac:dyDescent="0.2">
      <c r="A59" s="26"/>
      <c r="B59" s="26"/>
      <c r="C59" s="26"/>
      <c r="D59" s="27"/>
      <c r="E59" s="26"/>
      <c r="F59" s="28"/>
      <c r="G59" s="28"/>
      <c r="H59" s="26"/>
      <c r="I59" s="27"/>
      <c r="J59" s="26"/>
      <c r="K59" s="28"/>
      <c r="L59" s="28"/>
      <c r="M59" s="26"/>
      <c r="N59" s="27"/>
      <c r="O59" s="26"/>
      <c r="P59" s="28"/>
      <c r="Q59" s="28"/>
      <c r="R59" s="26"/>
    </row>
    <row r="60" spans="1:18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</row>
    <row r="61" spans="1:18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</row>
    <row r="62" spans="1:18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</row>
    <row r="63" spans="1:18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</row>
  </sheetData>
  <mergeCells count="10">
    <mergeCell ref="A2:A3"/>
    <mergeCell ref="D13:G13"/>
    <mergeCell ref="I13:L13"/>
    <mergeCell ref="N13:Q13"/>
    <mergeCell ref="D14:D15"/>
    <mergeCell ref="E14:E15"/>
    <mergeCell ref="I14:I15"/>
    <mergeCell ref="J14:J15"/>
    <mergeCell ref="N14:N15"/>
    <mergeCell ref="O14:O15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776E9-7BEC-49AC-85E4-425FF50935B4}">
  <sheetPr codeName="Sheet19">
    <tabColor theme="7" tint="0.59999389629810485"/>
  </sheetPr>
  <dimension ref="A1:R63"/>
  <sheetViews>
    <sheetView zoomScaleNormal="100" workbookViewId="0">
      <selection activeCell="E29" sqref="E29"/>
    </sheetView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hidden="1" customWidth="1"/>
    <col min="8" max="8" width="1.6640625" customWidth="1"/>
    <col min="9" max="9" width="13.6640625" customWidth="1"/>
    <col min="10" max="10" width="54.6640625" customWidth="1"/>
    <col min="12" max="12" width="11" hidden="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hidden="1" customWidth="1"/>
  </cols>
  <sheetData>
    <row r="1" spans="1:1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18" x14ac:dyDescent="0.2">
      <c r="A2" s="247" t="s">
        <v>153</v>
      </c>
      <c r="B2" s="99"/>
      <c r="C2" s="26"/>
      <c r="D2" s="26"/>
      <c r="E2" s="69" t="s">
        <v>157</v>
      </c>
      <c r="F2" s="70" t="s">
        <v>90</v>
      </c>
      <c r="G2" s="70" t="s">
        <v>90</v>
      </c>
      <c r="H2" s="26"/>
      <c r="I2" s="26"/>
      <c r="J2" s="69"/>
      <c r="K2" s="70"/>
      <c r="L2" s="26"/>
      <c r="M2" s="26"/>
      <c r="N2" s="26"/>
      <c r="O2" s="26"/>
      <c r="P2" s="26"/>
      <c r="Q2" s="26"/>
      <c r="R2" s="26"/>
    </row>
    <row r="3" spans="1:18" x14ac:dyDescent="0.2">
      <c r="A3" s="248"/>
      <c r="B3" s="110">
        <f>Main!F7</f>
        <v>1</v>
      </c>
      <c r="C3" s="26"/>
      <c r="D3" s="26"/>
      <c r="E3" s="66" t="s">
        <v>158</v>
      </c>
      <c r="F3" s="67">
        <f>F12/24</f>
        <v>6.875</v>
      </c>
      <c r="G3" s="67">
        <f>$G$12/24</f>
        <v>0.23167135231481484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2">
      <c r="A4" s="26"/>
      <c r="B4" s="106" t="s">
        <v>223</v>
      </c>
      <c r="C4" s="109" t="s">
        <v>222</v>
      </c>
      <c r="D4" s="60"/>
      <c r="E4" s="101" t="s">
        <v>160</v>
      </c>
      <c r="F4" s="64"/>
      <c r="G4" s="64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2">
      <c r="A5" s="103" t="s">
        <v>192</v>
      </c>
      <c r="B5" s="107">
        <v>0</v>
      </c>
      <c r="C5" s="111"/>
      <c r="D5" s="105" t="s">
        <v>38</v>
      </c>
      <c r="E5" s="32"/>
      <c r="F5" s="68"/>
      <c r="G5" s="68"/>
      <c r="H5" s="26"/>
      <c r="I5" s="26"/>
      <c r="J5" s="71"/>
      <c r="K5" s="72"/>
      <c r="L5" s="26"/>
      <c r="M5" s="26"/>
      <c r="N5" s="26"/>
      <c r="O5" s="26"/>
      <c r="P5" s="26"/>
      <c r="Q5" s="26"/>
      <c r="R5" s="26"/>
    </row>
    <row r="6" spans="1:18" x14ac:dyDescent="0.2">
      <c r="A6" s="31" t="s">
        <v>193</v>
      </c>
      <c r="B6" s="108">
        <f>F3+F7*(IF(B2&lt;&gt;"",B2,B3)-1)</f>
        <v>6.875</v>
      </c>
      <c r="C6" s="112">
        <f>F3+G3+(F7+G7)*(IF(B2&lt;&gt;"",B2,B3)-1)</f>
        <v>7.1066713523148151</v>
      </c>
      <c r="D6" s="33" t="s">
        <v>38</v>
      </c>
      <c r="E6" s="100" t="s">
        <v>120</v>
      </c>
      <c r="F6" s="70" t="s">
        <v>90</v>
      </c>
      <c r="G6" s="70" t="s">
        <v>90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2">
      <c r="A7" s="26"/>
      <c r="B7" s="26"/>
      <c r="C7" s="26"/>
      <c r="D7" s="26"/>
      <c r="E7" s="66" t="s">
        <v>159</v>
      </c>
      <c r="F7" s="64">
        <f>F12/24</f>
        <v>6.875</v>
      </c>
      <c r="G7" s="67">
        <f>$G$12/24</f>
        <v>0.23167135231481484</v>
      </c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2">
      <c r="A8" s="26"/>
      <c r="B8" s="26"/>
      <c r="C8" s="26"/>
      <c r="D8" s="26"/>
      <c r="E8" s="158" t="s">
        <v>378</v>
      </c>
      <c r="F8" s="68"/>
      <c r="G8" s="98"/>
      <c r="H8" s="26"/>
      <c r="I8" s="26"/>
      <c r="J8" s="71"/>
      <c r="K8" s="72"/>
      <c r="L8" s="26"/>
      <c r="M8" s="26"/>
      <c r="N8" s="26"/>
      <c r="O8" s="26"/>
      <c r="P8" s="26"/>
      <c r="Q8" s="26"/>
      <c r="R8" s="26"/>
    </row>
    <row r="9" spans="1:18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1:18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18" x14ac:dyDescent="0.2">
      <c r="A11" s="148" t="s">
        <v>319</v>
      </c>
      <c r="B11" s="26"/>
      <c r="C11" s="26"/>
      <c r="D11" s="42"/>
      <c r="E11" s="43" t="s">
        <v>156</v>
      </c>
      <c r="F11" s="160"/>
      <c r="G11" s="44"/>
      <c r="H11" s="136"/>
      <c r="I11" s="42"/>
      <c r="J11" s="43"/>
      <c r="K11" s="76"/>
      <c r="L11" s="44"/>
      <c r="M11" s="136"/>
      <c r="N11" s="42"/>
      <c r="O11" s="43"/>
      <c r="P11" s="44"/>
      <c r="Q11" s="44"/>
      <c r="R11" s="26"/>
    </row>
    <row r="12" spans="1:18" x14ac:dyDescent="0.2">
      <c r="A12" s="259" t="s">
        <v>320</v>
      </c>
      <c r="B12" s="260"/>
      <c r="C12" s="26"/>
      <c r="D12" s="35" t="s">
        <v>112</v>
      </c>
      <c r="E12" s="36" t="s">
        <v>380</v>
      </c>
      <c r="F12" s="77">
        <f>SUM(F16:F59)</f>
        <v>165</v>
      </c>
      <c r="G12" s="94">
        <f>SUM(G16:G59)</f>
        <v>5.5601124555555561</v>
      </c>
      <c r="H12" s="136"/>
      <c r="I12" s="35" t="s">
        <v>112</v>
      </c>
      <c r="J12" s="36"/>
      <c r="K12" s="77">
        <f>SUM(K16:K59)</f>
        <v>0</v>
      </c>
      <c r="L12" s="94">
        <f>SUM(L16:L59)</f>
        <v>0</v>
      </c>
      <c r="M12" s="136"/>
      <c r="N12" s="35" t="s">
        <v>112</v>
      </c>
      <c r="O12" s="36"/>
      <c r="P12" s="37">
        <f>SUM(P16:P59)</f>
        <v>0</v>
      </c>
      <c r="Q12" s="94">
        <f>SUM(Q16:Q59)</f>
        <v>0</v>
      </c>
      <c r="R12" s="26"/>
    </row>
    <row r="13" spans="1:18" x14ac:dyDescent="0.2">
      <c r="A13" s="260"/>
      <c r="B13" s="260"/>
      <c r="C13" s="26"/>
      <c r="D13" s="253"/>
      <c r="E13" s="254"/>
      <c r="F13" s="254"/>
      <c r="G13" s="255"/>
      <c r="H13" s="136"/>
      <c r="I13" s="253"/>
      <c r="J13" s="254"/>
      <c r="K13" s="254"/>
      <c r="L13" s="255"/>
      <c r="M13" s="136"/>
      <c r="N13" s="253"/>
      <c r="O13" s="254"/>
      <c r="P13" s="254"/>
      <c r="Q13" s="255"/>
      <c r="R13" s="30"/>
    </row>
    <row r="14" spans="1:18" ht="15" customHeight="1" x14ac:dyDescent="0.2">
      <c r="A14" s="260"/>
      <c r="B14" s="260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61" t="s">
        <v>83</v>
      </c>
      <c r="J14" s="137" t="s">
        <v>16</v>
      </c>
      <c r="K14" s="138" t="s">
        <v>17</v>
      </c>
      <c r="L14" s="138" t="s">
        <v>215</v>
      </c>
      <c r="M14" s="136"/>
      <c r="N14" s="249" t="s">
        <v>83</v>
      </c>
      <c r="O14" s="38" t="s">
        <v>16</v>
      </c>
      <c r="P14" s="39" t="s">
        <v>17</v>
      </c>
      <c r="Q14" s="39" t="s">
        <v>215</v>
      </c>
      <c r="R14" s="26"/>
    </row>
    <row r="15" spans="1:18" x14ac:dyDescent="0.2">
      <c r="A15" s="259" t="s">
        <v>321</v>
      </c>
      <c r="B15" s="260"/>
      <c r="C15" s="26"/>
      <c r="D15" s="250"/>
      <c r="E15" s="252"/>
      <c r="F15" s="41" t="s">
        <v>18</v>
      </c>
      <c r="G15" s="41" t="s">
        <v>18</v>
      </c>
      <c r="H15" s="26"/>
      <c r="I15" s="250"/>
      <c r="J15" s="40"/>
      <c r="K15" s="41" t="s">
        <v>18</v>
      </c>
      <c r="L15" s="41" t="s">
        <v>18</v>
      </c>
      <c r="M15" s="26"/>
      <c r="N15" s="250"/>
      <c r="O15" s="40"/>
      <c r="P15" s="41" t="s">
        <v>18</v>
      </c>
      <c r="Q15" s="41" t="s">
        <v>18</v>
      </c>
      <c r="R15" s="26"/>
    </row>
    <row r="16" spans="1:18" x14ac:dyDescent="0.2">
      <c r="A16" s="260"/>
      <c r="B16" s="260"/>
      <c r="C16" s="26"/>
      <c r="D16" s="27">
        <v>1</v>
      </c>
      <c r="E16" s="26" t="s">
        <v>327</v>
      </c>
      <c r="F16" s="28"/>
      <c r="G16" s="28"/>
      <c r="H16" s="26"/>
      <c r="I16" s="27"/>
      <c r="J16" s="26"/>
      <c r="K16" s="28"/>
      <c r="L16" s="28"/>
      <c r="M16" s="26"/>
      <c r="N16" s="27"/>
      <c r="O16" s="26"/>
      <c r="P16" s="28"/>
      <c r="Q16" s="28"/>
      <c r="R16" s="26"/>
    </row>
    <row r="17" spans="1:18" x14ac:dyDescent="0.2">
      <c r="A17" s="260"/>
      <c r="B17" s="260"/>
      <c r="C17" s="26"/>
      <c r="D17" s="27"/>
      <c r="E17" s="156" t="s">
        <v>328</v>
      </c>
      <c r="F17" s="28">
        <v>18</v>
      </c>
      <c r="G17" s="64">
        <f>'Unit Cell Details'!$F$46*2+'Unit Cell Details'!$F$49</f>
        <v>1.1156678688888888</v>
      </c>
      <c r="H17" s="26"/>
      <c r="I17" s="27"/>
      <c r="J17" s="26"/>
      <c r="K17" s="28"/>
      <c r="L17" s="28"/>
      <c r="M17" s="26"/>
      <c r="N17" s="27"/>
      <c r="O17" s="26"/>
      <c r="P17" s="28"/>
      <c r="Q17" s="28"/>
      <c r="R17" s="26"/>
    </row>
    <row r="18" spans="1:18" x14ac:dyDescent="0.2">
      <c r="A18" s="259" t="s">
        <v>322</v>
      </c>
      <c r="B18" s="260"/>
      <c r="C18" s="26"/>
      <c r="D18" s="27"/>
      <c r="E18" s="156" t="s">
        <v>329</v>
      </c>
      <c r="F18" s="28"/>
      <c r="G18" s="64">
        <f>'Unit Cell Details'!$F$46*4+'Unit Cell Details'!$F$49*2</f>
        <v>2.2313357377777776</v>
      </c>
      <c r="H18" s="26"/>
      <c r="I18" s="27"/>
      <c r="J18" s="26"/>
      <c r="K18" s="28"/>
      <c r="L18" s="28"/>
      <c r="M18" s="26"/>
      <c r="N18" s="27"/>
      <c r="O18" s="26"/>
      <c r="P18" s="28"/>
      <c r="Q18" s="28"/>
      <c r="R18" s="26"/>
    </row>
    <row r="19" spans="1:18" x14ac:dyDescent="0.2">
      <c r="A19" s="260"/>
      <c r="B19" s="260"/>
      <c r="C19" s="26"/>
      <c r="D19" s="27">
        <v>2</v>
      </c>
      <c r="E19" s="26" t="s">
        <v>330</v>
      </c>
      <c r="F19" s="28">
        <v>18</v>
      </c>
      <c r="G19" s="28"/>
      <c r="H19" s="26"/>
      <c r="I19" s="27"/>
      <c r="J19" s="26"/>
      <c r="K19" s="28"/>
      <c r="L19" s="28"/>
      <c r="M19" s="26"/>
      <c r="N19" s="27"/>
      <c r="O19" s="26"/>
      <c r="P19" s="28"/>
      <c r="Q19" s="28"/>
      <c r="R19" s="26"/>
    </row>
    <row r="20" spans="1:18" x14ac:dyDescent="0.2">
      <c r="A20" s="260"/>
      <c r="B20" s="260"/>
      <c r="C20" s="26"/>
      <c r="D20" s="27">
        <v>3</v>
      </c>
      <c r="E20" s="154" t="s">
        <v>331</v>
      </c>
      <c r="F20" s="28">
        <v>6</v>
      </c>
      <c r="G20" s="28"/>
      <c r="H20" s="26"/>
      <c r="I20" s="27"/>
      <c r="J20" s="26"/>
      <c r="K20" s="28"/>
      <c r="L20" s="28"/>
      <c r="M20" s="26"/>
      <c r="N20" s="27"/>
      <c r="O20" s="26"/>
      <c r="P20" s="28"/>
      <c r="Q20" s="28"/>
      <c r="R20" s="26"/>
    </row>
    <row r="21" spans="1:18" x14ac:dyDescent="0.2">
      <c r="A21" s="26"/>
      <c r="B21" s="26"/>
      <c r="C21" s="26"/>
      <c r="D21" s="27"/>
      <c r="E21" s="26"/>
      <c r="F21" s="28"/>
      <c r="G21" s="28"/>
      <c r="H21" s="26"/>
      <c r="I21" s="27"/>
      <c r="J21" s="26"/>
      <c r="K21" s="28"/>
      <c r="L21" s="28"/>
      <c r="M21" s="26"/>
      <c r="N21" s="27"/>
      <c r="O21" s="26"/>
      <c r="P21" s="28"/>
      <c r="Q21" s="28"/>
      <c r="R21" s="26"/>
    </row>
    <row r="22" spans="1:18" x14ac:dyDescent="0.2">
      <c r="A22" s="26"/>
      <c r="B22" s="26"/>
      <c r="C22" s="26"/>
      <c r="D22" s="27">
        <v>4</v>
      </c>
      <c r="E22" s="26" t="s">
        <v>332</v>
      </c>
      <c r="F22" s="28">
        <v>4</v>
      </c>
      <c r="G22" s="28"/>
      <c r="H22" s="26"/>
      <c r="I22" s="27"/>
      <c r="J22" s="26"/>
      <c r="K22" s="28"/>
      <c r="L22" s="28"/>
      <c r="M22" s="26"/>
      <c r="N22" s="27"/>
      <c r="O22" s="26"/>
      <c r="P22" s="28"/>
      <c r="Q22" s="28"/>
      <c r="R22" s="26"/>
    </row>
    <row r="23" spans="1:18" x14ac:dyDescent="0.2">
      <c r="A23" s="26"/>
      <c r="B23" s="26"/>
      <c r="C23" s="26"/>
      <c r="D23" s="27">
        <v>5</v>
      </c>
      <c r="E23" s="26" t="s">
        <v>333</v>
      </c>
      <c r="F23" s="28">
        <v>4</v>
      </c>
      <c r="G23" s="28"/>
      <c r="H23" s="26"/>
      <c r="I23" s="27"/>
      <c r="J23" s="26"/>
      <c r="K23" s="28"/>
      <c r="L23" s="28"/>
      <c r="M23" s="26"/>
      <c r="N23" s="27"/>
      <c r="O23" s="26"/>
      <c r="P23" s="28"/>
      <c r="Q23" s="28"/>
      <c r="R23" s="26"/>
    </row>
    <row r="24" spans="1:18" x14ac:dyDescent="0.2">
      <c r="A24" s="26"/>
      <c r="B24" s="26"/>
      <c r="C24" s="26"/>
      <c r="D24" s="27">
        <v>6</v>
      </c>
      <c r="E24" s="26" t="s">
        <v>334</v>
      </c>
      <c r="F24" s="28"/>
      <c r="G24" s="28"/>
      <c r="H24" s="26"/>
      <c r="I24" s="27"/>
      <c r="J24" s="26"/>
      <c r="K24" s="28"/>
      <c r="L24" s="28"/>
      <c r="M24" s="26"/>
      <c r="N24" s="27"/>
      <c r="O24" s="26"/>
      <c r="P24" s="28"/>
      <c r="Q24" s="28"/>
      <c r="R24" s="26"/>
    </row>
    <row r="25" spans="1:18" x14ac:dyDescent="0.2">
      <c r="A25" s="26"/>
      <c r="B25" s="26"/>
      <c r="C25" s="26"/>
      <c r="D25" s="27">
        <v>7</v>
      </c>
      <c r="E25" s="26" t="s">
        <v>335</v>
      </c>
      <c r="F25" s="28">
        <v>4</v>
      </c>
      <c r="G25" s="28"/>
      <c r="H25" s="26"/>
      <c r="I25" s="27"/>
      <c r="J25" s="26"/>
      <c r="K25" s="28"/>
      <c r="L25" s="28"/>
      <c r="M25" s="26"/>
      <c r="N25" s="27"/>
      <c r="O25" s="26"/>
      <c r="P25" s="28"/>
      <c r="Q25" s="28"/>
      <c r="R25" s="26"/>
    </row>
    <row r="26" spans="1:18" x14ac:dyDescent="0.2">
      <c r="A26" s="26"/>
      <c r="B26" s="26"/>
      <c r="C26" s="26"/>
      <c r="D26" s="27"/>
      <c r="E26" s="26" t="s">
        <v>336</v>
      </c>
      <c r="F26" s="28">
        <v>4</v>
      </c>
      <c r="G26" s="64">
        <f>'Unit Cell Details'!$F$46+'Unit Cell Details'!$F$49</f>
        <v>0.55327721222222226</v>
      </c>
      <c r="H26" s="26"/>
      <c r="I26" s="27"/>
      <c r="J26" s="26"/>
      <c r="K26" s="28"/>
      <c r="L26" s="28"/>
      <c r="M26" s="26"/>
      <c r="N26" s="27"/>
      <c r="O26" s="26"/>
      <c r="P26" s="28"/>
      <c r="Q26" s="28"/>
      <c r="R26" s="26"/>
    </row>
    <row r="27" spans="1:18" x14ac:dyDescent="0.2">
      <c r="A27" s="26"/>
      <c r="B27" s="26"/>
      <c r="C27" s="26"/>
      <c r="D27" s="27"/>
      <c r="E27" s="26" t="s">
        <v>337</v>
      </c>
      <c r="F27" s="28">
        <v>3</v>
      </c>
      <c r="G27" s="28"/>
      <c r="H27" s="26"/>
      <c r="I27" s="27"/>
      <c r="J27" s="26"/>
      <c r="K27" s="28"/>
      <c r="L27" s="28"/>
      <c r="M27" s="26"/>
      <c r="N27" s="27"/>
      <c r="O27" s="26"/>
      <c r="P27" s="28"/>
      <c r="Q27" s="28"/>
      <c r="R27" s="26"/>
    </row>
    <row r="28" spans="1:18" x14ac:dyDescent="0.2">
      <c r="A28" s="26"/>
      <c r="B28" s="26"/>
      <c r="C28" s="26"/>
      <c r="D28" s="27"/>
      <c r="E28" s="26" t="s">
        <v>348</v>
      </c>
      <c r="F28" s="28">
        <v>4</v>
      </c>
      <c r="G28" s="64">
        <f>'Unit Cell Details'!$F$46+'Unit Cell Details'!$F$49</f>
        <v>0.55327721222222226</v>
      </c>
      <c r="H28" s="26"/>
      <c r="I28" s="27"/>
      <c r="J28" s="26"/>
      <c r="K28" s="28"/>
      <c r="L28" s="28"/>
      <c r="M28" s="26"/>
      <c r="N28" s="27"/>
      <c r="O28" s="26"/>
      <c r="P28" s="28"/>
      <c r="Q28" s="28"/>
      <c r="R28" s="26"/>
    </row>
    <row r="29" spans="1:18" x14ac:dyDescent="0.2">
      <c r="A29" s="26"/>
      <c r="B29" s="26"/>
      <c r="C29" s="26"/>
      <c r="D29" s="27"/>
      <c r="E29" s="155" t="s">
        <v>349</v>
      </c>
      <c r="F29" s="28"/>
      <c r="G29" s="28"/>
      <c r="H29" s="26"/>
      <c r="I29" s="27"/>
      <c r="J29" s="26"/>
      <c r="K29" s="28"/>
      <c r="L29" s="28"/>
      <c r="M29" s="26"/>
      <c r="N29" s="27"/>
      <c r="O29" s="26"/>
      <c r="P29" s="28"/>
      <c r="Q29" s="28"/>
      <c r="R29" s="26"/>
    </row>
    <row r="30" spans="1:18" x14ac:dyDescent="0.2">
      <c r="A30" s="26"/>
      <c r="B30" s="26"/>
      <c r="C30" s="26"/>
      <c r="D30" s="27"/>
      <c r="E30" s="26" t="s">
        <v>338</v>
      </c>
      <c r="F30" s="28">
        <v>4</v>
      </c>
      <c r="G30" s="28"/>
      <c r="H30" s="26"/>
      <c r="I30" s="27"/>
      <c r="J30" s="26"/>
      <c r="K30" s="28"/>
      <c r="L30" s="28"/>
      <c r="M30" s="26"/>
      <c r="N30" s="27"/>
      <c r="O30" s="26"/>
      <c r="P30" s="28"/>
      <c r="Q30" s="28"/>
      <c r="R30" s="26"/>
    </row>
    <row r="31" spans="1:18" x14ac:dyDescent="0.2">
      <c r="A31" s="26"/>
      <c r="B31" s="26"/>
      <c r="C31" s="26"/>
      <c r="D31" s="27"/>
      <c r="E31" s="26" t="s">
        <v>339</v>
      </c>
      <c r="F31" s="28">
        <v>4</v>
      </c>
      <c r="G31" s="64">
        <f>'Unit Cell Details'!$F$46+'Unit Cell Details'!$F$49</f>
        <v>0.55327721222222226</v>
      </c>
      <c r="H31" s="26"/>
      <c r="I31" s="27"/>
      <c r="J31" s="26"/>
      <c r="K31" s="28"/>
      <c r="L31" s="28"/>
      <c r="M31" s="26"/>
      <c r="N31" s="27"/>
      <c r="O31" s="26"/>
      <c r="P31" s="28"/>
      <c r="Q31" s="28"/>
      <c r="R31" s="26"/>
    </row>
    <row r="32" spans="1:18" x14ac:dyDescent="0.2">
      <c r="A32" s="26"/>
      <c r="B32" s="26"/>
      <c r="C32" s="26"/>
      <c r="D32" s="27"/>
      <c r="E32" s="26" t="s">
        <v>340</v>
      </c>
      <c r="F32" s="28">
        <v>3</v>
      </c>
      <c r="G32" s="28"/>
      <c r="H32" s="26"/>
      <c r="I32" s="27"/>
      <c r="J32" s="26"/>
      <c r="K32" s="28"/>
      <c r="L32" s="28"/>
      <c r="M32" s="26"/>
      <c r="N32" s="27"/>
      <c r="O32" s="26"/>
      <c r="P32" s="28"/>
      <c r="Q32" s="28"/>
      <c r="R32" s="26"/>
    </row>
    <row r="33" spans="1:18" x14ac:dyDescent="0.2">
      <c r="A33" s="26"/>
      <c r="B33" s="26"/>
      <c r="C33" s="26"/>
      <c r="D33" s="27"/>
      <c r="E33" s="26" t="s">
        <v>350</v>
      </c>
      <c r="F33" s="28">
        <v>4</v>
      </c>
      <c r="G33" s="64">
        <f>'Unit Cell Details'!$F$46+'Unit Cell Details'!$F$49</f>
        <v>0.55327721222222226</v>
      </c>
      <c r="H33" s="26"/>
      <c r="I33" s="27"/>
      <c r="J33" s="26"/>
      <c r="K33" s="28"/>
      <c r="L33" s="28"/>
      <c r="M33" s="26"/>
      <c r="N33" s="27"/>
      <c r="O33" s="26"/>
      <c r="P33" s="28"/>
      <c r="Q33" s="28"/>
      <c r="R33" s="26"/>
    </row>
    <row r="34" spans="1:18" x14ac:dyDescent="0.2">
      <c r="A34" s="26"/>
      <c r="B34" s="26"/>
      <c r="C34" s="26"/>
      <c r="D34" s="27"/>
      <c r="E34" s="155" t="s">
        <v>349</v>
      </c>
      <c r="F34" s="28"/>
      <c r="G34" s="28"/>
      <c r="H34" s="26"/>
      <c r="I34" s="27"/>
      <c r="J34" s="26"/>
      <c r="K34" s="28"/>
      <c r="L34" s="28"/>
      <c r="M34" s="26"/>
      <c r="N34" s="27"/>
      <c r="O34" s="26"/>
      <c r="P34" s="28"/>
      <c r="Q34" s="28"/>
      <c r="R34" s="26"/>
    </row>
    <row r="35" spans="1:18" x14ac:dyDescent="0.2">
      <c r="A35" s="26"/>
      <c r="B35" s="26"/>
      <c r="C35" s="26"/>
      <c r="D35" s="27"/>
      <c r="E35" s="26" t="s">
        <v>341</v>
      </c>
      <c r="F35" s="28">
        <v>4</v>
      </c>
      <c r="G35" s="28"/>
      <c r="H35" s="26"/>
      <c r="I35" s="27"/>
      <c r="J35" s="26"/>
      <c r="K35" s="28"/>
      <c r="L35" s="28"/>
      <c r="M35" s="26"/>
      <c r="N35" s="27"/>
      <c r="O35" s="26"/>
      <c r="P35" s="28"/>
      <c r="Q35" s="28"/>
      <c r="R35" s="26"/>
    </row>
    <row r="36" spans="1:18" x14ac:dyDescent="0.2">
      <c r="A36" s="26"/>
      <c r="B36" s="26"/>
      <c r="C36" s="26"/>
      <c r="D36" s="27"/>
      <c r="E36" s="26" t="s">
        <v>342</v>
      </c>
      <c r="F36" s="28">
        <v>4</v>
      </c>
      <c r="G36" s="64"/>
      <c r="H36" s="26"/>
      <c r="I36" s="27"/>
      <c r="J36" s="26"/>
      <c r="K36" s="28"/>
      <c r="L36" s="28"/>
      <c r="M36" s="26"/>
      <c r="N36" s="27"/>
      <c r="O36" s="26"/>
      <c r="P36" s="28"/>
      <c r="Q36" s="28"/>
      <c r="R36" s="26"/>
    </row>
    <row r="37" spans="1:18" x14ac:dyDescent="0.2">
      <c r="A37" s="26"/>
      <c r="B37" s="26"/>
      <c r="C37" s="26"/>
      <c r="D37" s="27"/>
      <c r="E37" s="26" t="s">
        <v>351</v>
      </c>
      <c r="F37" s="28">
        <v>4</v>
      </c>
      <c r="G37" s="28"/>
      <c r="H37" s="26"/>
      <c r="I37" s="27"/>
      <c r="J37" s="26"/>
      <c r="K37" s="28"/>
      <c r="L37" s="28"/>
      <c r="M37" s="26"/>
      <c r="N37" s="27"/>
      <c r="O37" s="26"/>
      <c r="P37" s="28"/>
      <c r="Q37" s="28"/>
      <c r="R37" s="26"/>
    </row>
    <row r="38" spans="1:18" x14ac:dyDescent="0.2">
      <c r="A38" s="26"/>
      <c r="B38" s="26"/>
      <c r="C38" s="26"/>
      <c r="D38" s="27"/>
      <c r="E38" s="155" t="s">
        <v>352</v>
      </c>
      <c r="F38" s="28"/>
      <c r="G38" s="28"/>
      <c r="H38" s="26"/>
      <c r="I38" s="27"/>
      <c r="J38" s="26"/>
      <c r="K38" s="28"/>
      <c r="L38" s="28"/>
      <c r="M38" s="26"/>
      <c r="N38" s="27"/>
      <c r="O38" s="26"/>
      <c r="P38" s="28"/>
      <c r="Q38" s="28"/>
      <c r="R38" s="26"/>
    </row>
    <row r="39" spans="1:18" x14ac:dyDescent="0.2">
      <c r="A39" s="26"/>
      <c r="B39" s="26"/>
      <c r="C39" s="26"/>
      <c r="D39" s="27"/>
      <c r="E39" s="26" t="s">
        <v>343</v>
      </c>
      <c r="F39" s="28">
        <v>3</v>
      </c>
      <c r="G39" s="28"/>
      <c r="H39" s="26"/>
      <c r="I39" s="27"/>
      <c r="J39" s="26"/>
      <c r="K39" s="28"/>
      <c r="L39" s="28"/>
      <c r="M39" s="26"/>
      <c r="N39" s="27"/>
      <c r="O39" s="26"/>
      <c r="P39" s="28"/>
      <c r="Q39" s="28"/>
      <c r="R39" s="26"/>
    </row>
    <row r="40" spans="1:18" x14ac:dyDescent="0.2">
      <c r="A40" s="26"/>
      <c r="B40" s="26"/>
      <c r="C40" s="26"/>
      <c r="D40" s="27"/>
      <c r="E40" s="26" t="s">
        <v>354</v>
      </c>
      <c r="F40" s="28">
        <v>4</v>
      </c>
      <c r="G40" s="28"/>
      <c r="H40" s="26"/>
      <c r="I40" s="27"/>
      <c r="J40" s="26"/>
      <c r="K40" s="28"/>
      <c r="L40" s="28"/>
      <c r="M40" s="26"/>
      <c r="N40" s="27"/>
      <c r="O40" s="26"/>
      <c r="P40" s="28"/>
      <c r="Q40" s="28"/>
      <c r="R40" s="26"/>
    </row>
    <row r="41" spans="1:18" x14ac:dyDescent="0.2">
      <c r="A41" s="26"/>
      <c r="B41" s="26"/>
      <c r="C41" s="26"/>
      <c r="D41" s="27"/>
      <c r="E41" s="155" t="s">
        <v>353</v>
      </c>
      <c r="F41" s="28"/>
      <c r="G41" s="28"/>
      <c r="H41" s="26"/>
      <c r="I41" s="27"/>
      <c r="J41" s="26"/>
      <c r="K41" s="28"/>
      <c r="L41" s="28"/>
      <c r="M41" s="26"/>
      <c r="N41" s="27"/>
      <c r="O41" s="26"/>
      <c r="P41" s="28"/>
      <c r="Q41" s="28"/>
      <c r="R41" s="26"/>
    </row>
    <row r="42" spans="1:18" x14ac:dyDescent="0.2">
      <c r="A42" s="26"/>
      <c r="B42" s="26"/>
      <c r="C42" s="26"/>
      <c r="D42" s="27"/>
      <c r="E42" s="26" t="s">
        <v>344</v>
      </c>
      <c r="F42" s="28">
        <v>12</v>
      </c>
      <c r="G42" s="28"/>
      <c r="H42" s="26"/>
      <c r="I42" s="27"/>
      <c r="J42" s="26"/>
      <c r="K42" s="28"/>
      <c r="L42" s="28"/>
      <c r="M42" s="26"/>
      <c r="N42" s="27"/>
      <c r="O42" s="26"/>
      <c r="P42" s="28"/>
      <c r="Q42" s="28"/>
      <c r="R42" s="26"/>
    </row>
    <row r="43" spans="1:18" x14ac:dyDescent="0.2">
      <c r="A43" s="26"/>
      <c r="B43" s="26"/>
      <c r="C43" s="26"/>
      <c r="D43" s="27"/>
      <c r="E43" s="26" t="s">
        <v>346</v>
      </c>
      <c r="F43" s="28">
        <v>12</v>
      </c>
      <c r="G43" s="28"/>
      <c r="H43" s="26"/>
      <c r="I43" s="27"/>
      <c r="J43" s="26"/>
      <c r="K43" s="28"/>
      <c r="L43" s="28"/>
      <c r="M43" s="26"/>
      <c r="N43" s="27"/>
      <c r="O43" s="26"/>
      <c r="P43" s="28"/>
      <c r="Q43" s="28"/>
      <c r="R43" s="26"/>
    </row>
    <row r="44" spans="1:18" x14ac:dyDescent="0.2">
      <c r="A44" s="26"/>
      <c r="B44" s="26"/>
      <c r="C44" s="26"/>
      <c r="D44" s="27"/>
      <c r="E44" s="26" t="s">
        <v>345</v>
      </c>
      <c r="F44" s="28">
        <v>12</v>
      </c>
      <c r="G44" s="28"/>
      <c r="H44" s="26"/>
      <c r="I44" s="27"/>
      <c r="J44" s="26"/>
      <c r="K44" s="28"/>
      <c r="L44" s="28"/>
      <c r="M44" s="26"/>
      <c r="N44" s="27"/>
      <c r="O44" s="26"/>
      <c r="P44" s="28"/>
      <c r="Q44" s="28"/>
      <c r="R44" s="26"/>
    </row>
    <row r="45" spans="1:18" x14ac:dyDescent="0.2">
      <c r="A45" s="26"/>
      <c r="B45" s="26"/>
      <c r="C45" s="26"/>
      <c r="D45" s="27"/>
      <c r="E45" s="26" t="s">
        <v>347</v>
      </c>
      <c r="F45" s="28">
        <v>12</v>
      </c>
      <c r="G45" s="28"/>
      <c r="H45" s="26"/>
      <c r="I45" s="27"/>
      <c r="J45" s="26"/>
      <c r="K45" s="28"/>
      <c r="L45" s="28"/>
      <c r="M45" s="26"/>
      <c r="N45" s="27"/>
      <c r="O45" s="26"/>
      <c r="P45" s="28"/>
      <c r="Q45" s="28"/>
      <c r="R45" s="26"/>
    </row>
    <row r="46" spans="1:18" x14ac:dyDescent="0.2">
      <c r="A46" s="26"/>
      <c r="B46" s="26"/>
      <c r="C46" s="26"/>
      <c r="D46" s="27"/>
      <c r="E46" s="26"/>
      <c r="F46" s="28"/>
      <c r="G46" s="28"/>
      <c r="H46" s="26"/>
      <c r="I46" s="27"/>
      <c r="J46" s="26"/>
      <c r="K46" s="28"/>
      <c r="L46" s="28"/>
      <c r="M46" s="26"/>
      <c r="N46" s="27"/>
      <c r="O46" s="26"/>
      <c r="P46" s="28"/>
      <c r="Q46" s="28"/>
      <c r="R46" s="26"/>
    </row>
    <row r="47" spans="1:18" x14ac:dyDescent="0.2">
      <c r="A47" s="26"/>
      <c r="B47" s="26"/>
      <c r="C47" s="26"/>
      <c r="D47" s="27"/>
      <c r="E47" s="26" t="s">
        <v>355</v>
      </c>
      <c r="F47" s="28">
        <v>18</v>
      </c>
      <c r="G47" s="28"/>
      <c r="H47" s="26"/>
      <c r="I47" s="27"/>
      <c r="J47" s="26"/>
      <c r="K47" s="28"/>
      <c r="L47" s="28"/>
      <c r="M47" s="26"/>
      <c r="N47" s="27"/>
      <c r="O47" s="26"/>
      <c r="P47" s="28"/>
      <c r="Q47" s="28"/>
      <c r="R47" s="26"/>
    </row>
    <row r="48" spans="1:18" x14ac:dyDescent="0.2">
      <c r="A48" s="26"/>
      <c r="B48" s="26"/>
      <c r="C48" s="26"/>
      <c r="D48" s="27"/>
      <c r="E48" s="26"/>
      <c r="F48" s="28"/>
      <c r="G48" s="28"/>
      <c r="H48" s="26"/>
      <c r="I48" s="27"/>
      <c r="J48" s="26"/>
      <c r="K48" s="28"/>
      <c r="L48" s="28"/>
      <c r="M48" s="26"/>
      <c r="N48" s="27"/>
      <c r="O48" s="26"/>
      <c r="P48" s="28"/>
      <c r="Q48" s="28"/>
      <c r="R48" s="26"/>
    </row>
    <row r="49" spans="1:18" x14ac:dyDescent="0.2">
      <c r="A49" s="26"/>
      <c r="B49" s="26"/>
      <c r="C49" s="26"/>
      <c r="D49" s="27"/>
      <c r="E49" s="26"/>
      <c r="F49" s="28"/>
      <c r="G49" s="28"/>
      <c r="H49" s="26"/>
      <c r="I49" s="27"/>
      <c r="J49" s="26"/>
      <c r="K49" s="28"/>
      <c r="L49" s="28"/>
      <c r="M49" s="26"/>
      <c r="N49" s="27"/>
      <c r="O49" s="26"/>
      <c r="P49" s="28"/>
      <c r="Q49" s="28"/>
      <c r="R49" s="26"/>
    </row>
    <row r="50" spans="1:18" x14ac:dyDescent="0.2">
      <c r="A50" s="26"/>
      <c r="B50" s="26"/>
      <c r="C50" s="26"/>
      <c r="D50" s="27"/>
      <c r="E50" s="26"/>
      <c r="F50" s="28"/>
      <c r="G50" s="28"/>
      <c r="H50" s="26"/>
      <c r="I50" s="27"/>
      <c r="J50" s="26"/>
      <c r="K50" s="28"/>
      <c r="L50" s="28"/>
      <c r="M50" s="26"/>
      <c r="N50" s="27"/>
      <c r="O50" s="26"/>
      <c r="P50" s="28"/>
      <c r="Q50" s="28"/>
      <c r="R50" s="26"/>
    </row>
    <row r="51" spans="1:18" x14ac:dyDescent="0.2">
      <c r="A51" s="26"/>
      <c r="B51" s="26"/>
      <c r="C51" s="26"/>
      <c r="D51" s="27"/>
      <c r="E51" s="26"/>
      <c r="F51" s="28"/>
      <c r="G51" s="28"/>
      <c r="H51" s="26"/>
      <c r="I51" s="27"/>
      <c r="J51" s="26"/>
      <c r="K51" s="28"/>
      <c r="L51" s="28"/>
      <c r="M51" s="26"/>
      <c r="N51" s="27"/>
      <c r="O51" s="26"/>
      <c r="P51" s="28"/>
      <c r="Q51" s="28"/>
      <c r="R51" s="26"/>
    </row>
    <row r="52" spans="1:18" x14ac:dyDescent="0.2">
      <c r="A52" s="26"/>
      <c r="B52" s="26"/>
      <c r="C52" s="26"/>
      <c r="D52" s="27"/>
      <c r="E52" s="26"/>
      <c r="F52" s="28"/>
      <c r="G52" s="28"/>
      <c r="H52" s="26"/>
      <c r="I52" s="27"/>
      <c r="J52" s="26"/>
      <c r="K52" s="28"/>
      <c r="L52" s="28"/>
      <c r="M52" s="26"/>
      <c r="N52" s="27"/>
      <c r="O52" s="26"/>
      <c r="P52" s="28"/>
      <c r="Q52" s="28"/>
      <c r="R52" s="26"/>
    </row>
    <row r="53" spans="1:18" x14ac:dyDescent="0.2">
      <c r="A53" s="26"/>
      <c r="B53" s="26"/>
      <c r="C53" s="26"/>
      <c r="D53" s="27"/>
      <c r="E53" s="26"/>
      <c r="F53" s="28"/>
      <c r="G53" s="28"/>
      <c r="H53" s="26"/>
      <c r="I53" s="27"/>
      <c r="J53" s="26"/>
      <c r="K53" s="28"/>
      <c r="L53" s="28"/>
      <c r="M53" s="26"/>
      <c r="N53" s="27"/>
      <c r="O53" s="26"/>
      <c r="P53" s="28"/>
      <c r="Q53" s="28"/>
      <c r="R53" s="26"/>
    </row>
    <row r="54" spans="1:18" x14ac:dyDescent="0.2">
      <c r="A54" s="26"/>
      <c r="B54" s="26"/>
      <c r="C54" s="26"/>
      <c r="D54" s="27"/>
      <c r="E54" s="26"/>
      <c r="F54" s="28"/>
      <c r="G54" s="28"/>
      <c r="H54" s="26"/>
      <c r="I54" s="27"/>
      <c r="J54" s="26"/>
      <c r="K54" s="28"/>
      <c r="L54" s="28"/>
      <c r="M54" s="26"/>
      <c r="N54" s="27"/>
      <c r="O54" s="26"/>
      <c r="P54" s="28"/>
      <c r="Q54" s="28"/>
      <c r="R54" s="26"/>
    </row>
    <row r="55" spans="1:18" x14ac:dyDescent="0.2">
      <c r="A55" s="26"/>
      <c r="B55" s="26"/>
      <c r="C55" s="26"/>
      <c r="D55" s="27"/>
      <c r="E55" s="26"/>
      <c r="F55" s="28"/>
      <c r="G55" s="28"/>
      <c r="H55" s="26"/>
      <c r="I55" s="27"/>
      <c r="J55" s="26"/>
      <c r="K55" s="28"/>
      <c r="L55" s="28"/>
      <c r="M55" s="26"/>
      <c r="N55" s="27"/>
      <c r="O55" s="26"/>
      <c r="P55" s="28"/>
      <c r="Q55" s="28"/>
      <c r="R55" s="26"/>
    </row>
    <row r="56" spans="1:18" x14ac:dyDescent="0.2">
      <c r="A56" s="26"/>
      <c r="B56" s="26"/>
      <c r="C56" s="26"/>
      <c r="D56" s="27"/>
      <c r="E56" s="26"/>
      <c r="F56" s="28"/>
      <c r="G56" s="28"/>
      <c r="H56" s="26"/>
      <c r="I56" s="27"/>
      <c r="J56" s="26"/>
      <c r="K56" s="28"/>
      <c r="L56" s="28"/>
      <c r="M56" s="26"/>
      <c r="N56" s="27"/>
      <c r="O56" s="26"/>
      <c r="P56" s="28"/>
      <c r="Q56" s="28"/>
      <c r="R56" s="26"/>
    </row>
    <row r="57" spans="1:18" x14ac:dyDescent="0.2">
      <c r="A57" s="26"/>
      <c r="B57" s="26"/>
      <c r="C57" s="26"/>
      <c r="D57" s="27"/>
      <c r="E57" s="26"/>
      <c r="F57" s="28"/>
      <c r="G57" s="28"/>
      <c r="H57" s="26"/>
      <c r="I57" s="27"/>
      <c r="J57" s="26"/>
      <c r="K57" s="28"/>
      <c r="L57" s="28"/>
      <c r="M57" s="26"/>
      <c r="N57" s="27"/>
      <c r="O57" s="26"/>
      <c r="P57" s="28"/>
      <c r="Q57" s="28"/>
      <c r="R57" s="26"/>
    </row>
    <row r="58" spans="1:18" x14ac:dyDescent="0.2">
      <c r="A58" s="26"/>
      <c r="B58" s="26"/>
      <c r="C58" s="26"/>
      <c r="D58" s="27"/>
      <c r="E58" s="26"/>
      <c r="F58" s="28"/>
      <c r="G58" s="28"/>
      <c r="H58" s="26"/>
      <c r="I58" s="27"/>
      <c r="J58" s="26"/>
      <c r="K58" s="28"/>
      <c r="L58" s="28"/>
      <c r="M58" s="26"/>
      <c r="N58" s="27"/>
      <c r="O58" s="26"/>
      <c r="P58" s="28"/>
      <c r="Q58" s="28"/>
      <c r="R58" s="26"/>
    </row>
    <row r="59" spans="1:18" x14ac:dyDescent="0.2">
      <c r="A59" s="26"/>
      <c r="B59" s="26"/>
      <c r="C59" s="26"/>
      <c r="D59" s="27"/>
      <c r="E59" s="26"/>
      <c r="F59" s="28"/>
      <c r="G59" s="28"/>
      <c r="H59" s="26"/>
      <c r="I59" s="27"/>
      <c r="J59" s="26"/>
      <c r="K59" s="28"/>
      <c r="L59" s="28"/>
      <c r="M59" s="26"/>
      <c r="N59" s="27"/>
      <c r="O59" s="26"/>
      <c r="P59" s="28"/>
      <c r="Q59" s="28"/>
      <c r="R59" s="26"/>
    </row>
    <row r="60" spans="1:18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</row>
    <row r="61" spans="1:18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</row>
    <row r="62" spans="1:18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</row>
    <row r="63" spans="1:18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</row>
  </sheetData>
  <mergeCells count="11">
    <mergeCell ref="A18:B20"/>
    <mergeCell ref="A2:A3"/>
    <mergeCell ref="D13:G13"/>
    <mergeCell ref="I13:L13"/>
    <mergeCell ref="N13:Q13"/>
    <mergeCell ref="D14:D15"/>
    <mergeCell ref="E14:E15"/>
    <mergeCell ref="I14:I15"/>
    <mergeCell ref="N14:N15"/>
    <mergeCell ref="A12:B14"/>
    <mergeCell ref="A15:B1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EFD24-CC62-4821-8B7C-B7B5C1D52D9C}">
  <sheetPr codeName="Sheet18">
    <tabColor theme="7" tint="0.59999389629810485"/>
  </sheetPr>
  <dimension ref="A1:R63"/>
  <sheetViews>
    <sheetView zoomScaleNormal="100" workbookViewId="0"/>
  </sheetViews>
  <sheetFormatPr baseColWidth="10" defaultColWidth="8.83203125" defaultRowHeight="15" x14ac:dyDescent="0.2"/>
  <cols>
    <col min="1" max="1" width="18.5" bestFit="1" customWidth="1"/>
    <col min="2" max="2" width="7" bestFit="1" customWidth="1"/>
    <col min="3" max="3" width="8.5" hidden="1" customWidth="1"/>
    <col min="4" max="4" width="13.6640625" customWidth="1"/>
    <col min="5" max="5" width="54.6640625" customWidth="1"/>
    <col min="7" max="7" width="11" customWidth="1"/>
    <col min="8" max="8" width="1.6640625" customWidth="1"/>
    <col min="9" max="9" width="13.6640625" customWidth="1"/>
    <col min="10" max="10" width="54.6640625" customWidth="1"/>
    <col min="12" max="12" width="11" customWidth="1"/>
    <col min="13" max="13" width="1.6640625" customWidth="1"/>
    <col min="14" max="14" width="13.6640625" customWidth="1"/>
    <col min="15" max="15" width="54.6640625" customWidth="1"/>
    <col min="16" max="16" width="9.5" bestFit="1" customWidth="1"/>
    <col min="17" max="17" width="11" customWidth="1"/>
  </cols>
  <sheetData>
    <row r="1" spans="1:1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18" x14ac:dyDescent="0.2">
      <c r="A2" s="247" t="s">
        <v>153</v>
      </c>
      <c r="B2" s="99"/>
      <c r="C2" s="26"/>
      <c r="D2" s="26"/>
      <c r="E2" s="69"/>
      <c r="F2" s="70"/>
      <c r="G2" s="70"/>
      <c r="H2" s="26"/>
      <c r="I2" s="26"/>
      <c r="J2" s="69"/>
      <c r="K2" s="70"/>
      <c r="L2" s="26"/>
      <c r="M2" s="26"/>
      <c r="N2" s="26"/>
      <c r="O2" s="26"/>
      <c r="P2" s="26"/>
      <c r="Q2" s="26"/>
      <c r="R2" s="26"/>
    </row>
    <row r="3" spans="1:18" x14ac:dyDescent="0.2">
      <c r="A3" s="248"/>
      <c r="B3" s="110">
        <f>Main!F7</f>
        <v>1</v>
      </c>
      <c r="C3" s="26"/>
      <c r="D3" s="26"/>
      <c r="E3" s="66" t="s">
        <v>158</v>
      </c>
      <c r="F3" s="67">
        <f>F12/24</f>
        <v>6.208333333333333</v>
      </c>
      <c r="G3" s="67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2">
      <c r="A4" s="26"/>
      <c r="B4" s="106" t="s">
        <v>223</v>
      </c>
      <c r="C4" s="109" t="s">
        <v>222</v>
      </c>
      <c r="D4" s="60"/>
      <c r="E4" s="101"/>
      <c r="F4" s="64"/>
      <c r="G4" s="64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2">
      <c r="A5" s="103" t="s">
        <v>192</v>
      </c>
      <c r="B5" s="107">
        <v>0</v>
      </c>
      <c r="C5" s="111">
        <v>0</v>
      </c>
      <c r="D5" s="105" t="s">
        <v>38</v>
      </c>
      <c r="E5" s="32"/>
      <c r="F5" s="68"/>
      <c r="G5" s="68"/>
      <c r="H5" s="26"/>
      <c r="I5" s="26"/>
      <c r="J5" s="71"/>
      <c r="K5" s="72"/>
      <c r="L5" s="26"/>
      <c r="M5" s="26"/>
      <c r="N5" s="26"/>
      <c r="O5" s="26"/>
      <c r="P5" s="26"/>
      <c r="Q5" s="26"/>
      <c r="R5" s="26"/>
    </row>
    <row r="6" spans="1:18" x14ac:dyDescent="0.2">
      <c r="A6" s="31" t="s">
        <v>193</v>
      </c>
      <c r="B6" s="108">
        <f>F3+F7*(IF(B2&lt;&gt;"",B2,B3)-1)</f>
        <v>6.208333333333333</v>
      </c>
      <c r="C6" s="112">
        <f>F3+F7*(IF(B2&lt;&gt;"",B2,B3)-1)</f>
        <v>6.208333333333333</v>
      </c>
      <c r="D6" s="33" t="s">
        <v>38</v>
      </c>
      <c r="E6" s="100"/>
      <c r="F6" s="70"/>
      <c r="G6" s="70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2">
      <c r="A7" s="26"/>
      <c r="B7" s="26"/>
      <c r="C7" s="26"/>
      <c r="D7" s="26"/>
      <c r="E7" s="66" t="s">
        <v>159</v>
      </c>
      <c r="F7" s="64">
        <f>SUM(F18:F51)/24</f>
        <v>5.208333333333333</v>
      </c>
      <c r="G7" s="97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2">
      <c r="A8" s="26"/>
      <c r="B8" s="26"/>
      <c r="C8" s="26"/>
      <c r="D8" s="26"/>
      <c r="E8" s="31"/>
      <c r="F8" s="68"/>
      <c r="G8" s="98"/>
      <c r="H8" s="26"/>
      <c r="I8" s="26"/>
      <c r="J8" s="71"/>
      <c r="K8" s="72"/>
      <c r="L8" s="26"/>
      <c r="M8" s="26"/>
      <c r="N8" s="26"/>
      <c r="O8" s="26"/>
      <c r="P8" s="26"/>
      <c r="Q8" s="26"/>
      <c r="R8" s="26"/>
    </row>
    <row r="9" spans="1:18" x14ac:dyDescent="0.2">
      <c r="A9" s="26"/>
      <c r="B9" s="26"/>
      <c r="C9" s="26"/>
      <c r="D9" s="26"/>
      <c r="E9" s="1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1:18" x14ac:dyDescent="0.2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18" x14ac:dyDescent="0.2">
      <c r="A11" s="26"/>
      <c r="B11" s="26"/>
      <c r="C11" s="26"/>
      <c r="D11" s="42"/>
      <c r="E11" s="43" t="s">
        <v>156</v>
      </c>
      <c r="F11" s="76"/>
      <c r="G11" s="159"/>
      <c r="H11" s="136"/>
      <c r="I11" s="42"/>
      <c r="J11" s="43"/>
      <c r="K11" s="76"/>
      <c r="L11" s="44"/>
      <c r="M11" s="136"/>
      <c r="N11" s="42"/>
      <c r="O11" s="43"/>
      <c r="P11" s="44"/>
      <c r="Q11" s="44"/>
      <c r="R11" s="26"/>
    </row>
    <row r="12" spans="1:18" x14ac:dyDescent="0.2">
      <c r="A12" s="26"/>
      <c r="B12" s="26"/>
      <c r="C12" s="26"/>
      <c r="D12" s="35" t="s">
        <v>112</v>
      </c>
      <c r="E12" s="36" t="s">
        <v>379</v>
      </c>
      <c r="F12" s="77">
        <f>SUM(F16:F59)</f>
        <v>149</v>
      </c>
      <c r="G12" s="94">
        <f>SUM(G16:G59)</f>
        <v>0</v>
      </c>
      <c r="H12" s="136"/>
      <c r="I12" s="35" t="s">
        <v>112</v>
      </c>
      <c r="J12" s="36"/>
      <c r="K12" s="77">
        <f>SUM(K16:K59)</f>
        <v>0</v>
      </c>
      <c r="L12" s="94">
        <f>SUM(L16:L59)</f>
        <v>0</v>
      </c>
      <c r="M12" s="136"/>
      <c r="N12" s="35" t="s">
        <v>112</v>
      </c>
      <c r="O12" s="36"/>
      <c r="P12" s="37">
        <f>SUM(P16:P59)</f>
        <v>0</v>
      </c>
      <c r="Q12" s="94">
        <f>SUM(Q16:Q59)</f>
        <v>0</v>
      </c>
      <c r="R12" s="26"/>
    </row>
    <row r="13" spans="1:18" x14ac:dyDescent="0.2">
      <c r="A13" s="26"/>
      <c r="B13" s="26"/>
      <c r="C13" s="26"/>
      <c r="D13" s="253"/>
      <c r="E13" s="254"/>
      <c r="F13" s="254"/>
      <c r="G13" s="255"/>
      <c r="H13" s="136"/>
      <c r="I13" s="253"/>
      <c r="J13" s="254"/>
      <c r="K13" s="254"/>
      <c r="L13" s="255"/>
      <c r="M13" s="136"/>
      <c r="N13" s="253"/>
      <c r="O13" s="254"/>
      <c r="P13" s="254"/>
      <c r="Q13" s="255"/>
      <c r="R13" s="30"/>
    </row>
    <row r="14" spans="1:18" ht="15" customHeight="1" x14ac:dyDescent="0.2">
      <c r="A14" s="26"/>
      <c r="B14" s="26"/>
      <c r="C14" s="26"/>
      <c r="D14" s="249" t="s">
        <v>83</v>
      </c>
      <c r="E14" s="251" t="s">
        <v>16</v>
      </c>
      <c r="F14" s="39" t="s">
        <v>17</v>
      </c>
      <c r="G14" s="39" t="s">
        <v>215</v>
      </c>
      <c r="H14" s="26"/>
      <c r="I14" s="261" t="s">
        <v>83</v>
      </c>
      <c r="J14" s="137" t="s">
        <v>16</v>
      </c>
      <c r="K14" s="138" t="s">
        <v>17</v>
      </c>
      <c r="L14" s="138" t="s">
        <v>215</v>
      </c>
      <c r="M14" s="136"/>
      <c r="N14" s="249" t="s">
        <v>83</v>
      </c>
      <c r="O14" s="38" t="s">
        <v>16</v>
      </c>
      <c r="P14" s="39" t="s">
        <v>17</v>
      </c>
      <c r="Q14" s="39" t="s">
        <v>215</v>
      </c>
      <c r="R14" s="26"/>
    </row>
    <row r="15" spans="1:18" x14ac:dyDescent="0.2">
      <c r="A15" s="26"/>
      <c r="B15" s="26"/>
      <c r="C15" s="26"/>
      <c r="D15" s="250"/>
      <c r="E15" s="252"/>
      <c r="F15" s="41" t="s">
        <v>18</v>
      </c>
      <c r="G15" s="41" t="s">
        <v>18</v>
      </c>
      <c r="H15" s="26"/>
      <c r="I15" s="250"/>
      <c r="J15" s="40"/>
      <c r="K15" s="41" t="s">
        <v>18</v>
      </c>
      <c r="L15" s="41" t="s">
        <v>18</v>
      </c>
      <c r="M15" s="26"/>
      <c r="N15" s="250"/>
      <c r="O15" s="40"/>
      <c r="P15" s="41" t="s">
        <v>18</v>
      </c>
      <c r="Q15" s="41" t="s">
        <v>18</v>
      </c>
      <c r="R15" s="26"/>
    </row>
    <row r="16" spans="1:18" x14ac:dyDescent="0.2">
      <c r="A16" s="26"/>
      <c r="B16" s="26"/>
      <c r="C16" s="26"/>
      <c r="D16" s="27">
        <v>1</v>
      </c>
      <c r="E16" s="26" t="s">
        <v>327</v>
      </c>
      <c r="F16" s="28">
        <v>6</v>
      </c>
      <c r="G16" s="28"/>
      <c r="H16" s="26"/>
      <c r="I16" s="27"/>
      <c r="J16" s="26"/>
      <c r="K16" s="28"/>
      <c r="L16" s="28"/>
      <c r="M16" s="26"/>
      <c r="N16" s="27"/>
      <c r="O16" s="26"/>
      <c r="P16" s="28"/>
      <c r="Q16" s="28"/>
      <c r="R16" s="26"/>
    </row>
    <row r="17" spans="1:18" x14ac:dyDescent="0.2">
      <c r="A17" s="26"/>
      <c r="B17" s="26"/>
      <c r="C17" s="26"/>
      <c r="D17" s="27">
        <v>2</v>
      </c>
      <c r="E17" s="157" t="s">
        <v>330</v>
      </c>
      <c r="F17" s="28">
        <v>18</v>
      </c>
      <c r="G17" s="64"/>
      <c r="H17" s="26"/>
      <c r="I17" s="27"/>
      <c r="J17" s="26"/>
      <c r="K17" s="28"/>
      <c r="L17" s="28"/>
      <c r="M17" s="26"/>
      <c r="N17" s="27"/>
      <c r="O17" s="26"/>
      <c r="P17" s="28"/>
      <c r="Q17" s="28"/>
      <c r="R17" s="26"/>
    </row>
    <row r="18" spans="1:18" x14ac:dyDescent="0.2">
      <c r="A18" s="26"/>
      <c r="B18" s="26"/>
      <c r="C18" s="26"/>
      <c r="D18" s="27">
        <v>3</v>
      </c>
      <c r="E18" s="157" t="s">
        <v>331</v>
      </c>
      <c r="F18" s="28">
        <v>6</v>
      </c>
      <c r="G18" s="64"/>
      <c r="H18" s="26"/>
      <c r="I18" s="27"/>
      <c r="J18" s="26"/>
      <c r="K18" s="28"/>
      <c r="L18" s="28"/>
      <c r="M18" s="26"/>
      <c r="N18" s="27"/>
      <c r="O18" s="26"/>
      <c r="P18" s="28"/>
      <c r="Q18" s="28"/>
      <c r="R18" s="26"/>
    </row>
    <row r="19" spans="1:18" x14ac:dyDescent="0.2">
      <c r="A19" s="26"/>
      <c r="B19" s="26"/>
      <c r="C19" s="26"/>
      <c r="D19" s="27"/>
      <c r="E19" s="26"/>
      <c r="F19" s="28"/>
      <c r="G19" s="28"/>
      <c r="H19" s="26"/>
      <c r="I19" s="27"/>
      <c r="J19" s="26"/>
      <c r="K19" s="28"/>
      <c r="L19" s="28"/>
      <c r="M19" s="26"/>
      <c r="N19" s="27"/>
      <c r="O19" s="26"/>
      <c r="P19" s="28"/>
      <c r="Q19" s="28"/>
      <c r="R19" s="26"/>
    </row>
    <row r="20" spans="1:18" x14ac:dyDescent="0.2">
      <c r="A20" s="26"/>
      <c r="B20" s="26"/>
      <c r="C20" s="26"/>
      <c r="D20" s="27"/>
      <c r="E20" s="154" t="s">
        <v>332</v>
      </c>
      <c r="F20" s="28">
        <v>4</v>
      </c>
      <c r="G20" s="28"/>
      <c r="H20" s="26"/>
      <c r="I20" s="27"/>
      <c r="J20" s="26"/>
      <c r="K20" s="28"/>
      <c r="L20" s="28"/>
      <c r="M20" s="26"/>
      <c r="N20" s="27"/>
      <c r="O20" s="26"/>
      <c r="P20" s="28"/>
      <c r="Q20" s="28"/>
      <c r="R20" s="26"/>
    </row>
    <row r="21" spans="1:18" x14ac:dyDescent="0.2">
      <c r="A21" s="26"/>
      <c r="B21" s="26"/>
      <c r="C21" s="26"/>
      <c r="D21" s="27"/>
      <c r="E21" s="26" t="s">
        <v>333</v>
      </c>
      <c r="F21" s="28">
        <v>4</v>
      </c>
      <c r="G21" s="28"/>
      <c r="H21" s="26"/>
      <c r="I21" s="27"/>
      <c r="J21" s="26"/>
      <c r="K21" s="28"/>
      <c r="L21" s="28"/>
      <c r="M21" s="26"/>
      <c r="N21" s="27"/>
      <c r="O21" s="26"/>
      <c r="P21" s="28"/>
      <c r="Q21" s="28"/>
      <c r="R21" s="26"/>
    </row>
    <row r="22" spans="1:18" x14ac:dyDescent="0.2">
      <c r="A22" s="26"/>
      <c r="B22" s="26"/>
      <c r="C22" s="26"/>
      <c r="D22" s="27"/>
      <c r="E22" s="26" t="s">
        <v>334</v>
      </c>
      <c r="F22" s="28"/>
      <c r="G22" s="28"/>
      <c r="H22" s="26"/>
      <c r="I22" s="27"/>
      <c r="J22" s="26"/>
      <c r="K22" s="28"/>
      <c r="L22" s="28"/>
      <c r="M22" s="26"/>
      <c r="N22" s="27"/>
      <c r="O22" s="26"/>
      <c r="P22" s="28"/>
      <c r="Q22" s="28"/>
      <c r="R22" s="26"/>
    </row>
    <row r="23" spans="1:18" x14ac:dyDescent="0.2">
      <c r="A23" s="26"/>
      <c r="B23" s="26"/>
      <c r="C23" s="26"/>
      <c r="D23" s="27"/>
      <c r="E23" s="26" t="s">
        <v>335</v>
      </c>
      <c r="F23" s="28">
        <v>4</v>
      </c>
      <c r="G23" s="28"/>
      <c r="H23" s="26"/>
      <c r="I23" s="27"/>
      <c r="J23" s="26"/>
      <c r="K23" s="28"/>
      <c r="L23" s="28"/>
      <c r="M23" s="26"/>
      <c r="N23" s="27"/>
      <c r="O23" s="26"/>
      <c r="P23" s="28"/>
      <c r="Q23" s="28"/>
      <c r="R23" s="26"/>
    </row>
    <row r="24" spans="1:18" x14ac:dyDescent="0.2">
      <c r="A24" s="26"/>
      <c r="B24" s="26"/>
      <c r="C24" s="26"/>
      <c r="D24" s="27"/>
      <c r="E24" s="26" t="s">
        <v>364</v>
      </c>
      <c r="F24" s="28">
        <v>4</v>
      </c>
      <c r="G24" s="28"/>
      <c r="H24" s="26"/>
      <c r="I24" s="27"/>
      <c r="J24" s="26"/>
      <c r="K24" s="28"/>
      <c r="L24" s="28"/>
      <c r="M24" s="26"/>
      <c r="N24" s="27"/>
      <c r="O24" s="26"/>
      <c r="P24" s="28"/>
      <c r="Q24" s="28"/>
      <c r="R24" s="26"/>
    </row>
    <row r="25" spans="1:18" x14ac:dyDescent="0.2">
      <c r="A25" s="26"/>
      <c r="B25" s="26"/>
      <c r="C25" s="26"/>
      <c r="D25" s="27"/>
      <c r="E25" s="155" t="s">
        <v>363</v>
      </c>
      <c r="F25" s="28"/>
      <c r="G25" s="28"/>
      <c r="H25" s="26"/>
      <c r="I25" s="27"/>
      <c r="J25" s="26"/>
      <c r="K25" s="28"/>
      <c r="L25" s="28"/>
      <c r="M25" s="26"/>
      <c r="N25" s="27"/>
      <c r="O25" s="26"/>
      <c r="P25" s="28"/>
      <c r="Q25" s="28"/>
      <c r="R25" s="26"/>
    </row>
    <row r="26" spans="1:18" x14ac:dyDescent="0.2">
      <c r="A26" s="26"/>
      <c r="B26" s="26"/>
      <c r="C26" s="26"/>
      <c r="D26" s="27"/>
      <c r="E26" s="26" t="s">
        <v>366</v>
      </c>
      <c r="F26" s="28">
        <v>3</v>
      </c>
      <c r="G26" s="28"/>
      <c r="H26" s="26"/>
      <c r="I26" s="27"/>
      <c r="J26" s="26"/>
      <c r="K26" s="28"/>
      <c r="L26" s="28"/>
      <c r="M26" s="26"/>
      <c r="N26" s="27"/>
      <c r="O26" s="26"/>
      <c r="P26" s="28"/>
      <c r="Q26" s="28"/>
      <c r="R26" s="26"/>
    </row>
    <row r="27" spans="1:18" x14ac:dyDescent="0.2">
      <c r="A27" s="26"/>
      <c r="B27" s="26"/>
      <c r="C27" s="26"/>
      <c r="D27" s="27"/>
      <c r="E27" s="155" t="s">
        <v>365</v>
      </c>
      <c r="F27" s="28"/>
      <c r="G27" s="28"/>
      <c r="H27" s="26"/>
      <c r="I27" s="27"/>
      <c r="J27" s="26"/>
      <c r="K27" s="28"/>
      <c r="L27" s="28"/>
      <c r="M27" s="26"/>
      <c r="N27" s="27"/>
      <c r="O27" s="26"/>
      <c r="P27" s="28"/>
      <c r="Q27" s="28"/>
      <c r="R27" s="26"/>
    </row>
    <row r="28" spans="1:18" x14ac:dyDescent="0.2">
      <c r="A28" s="26"/>
      <c r="B28" s="26"/>
      <c r="C28" s="26"/>
      <c r="D28" s="27"/>
      <c r="E28" s="26" t="s">
        <v>356</v>
      </c>
      <c r="F28" s="28">
        <v>4</v>
      </c>
      <c r="G28" s="28"/>
      <c r="H28" s="26"/>
      <c r="I28" s="27"/>
      <c r="J28" s="26"/>
      <c r="K28" s="28"/>
      <c r="L28" s="28"/>
      <c r="M28" s="26"/>
      <c r="N28" s="27"/>
      <c r="O28" s="26"/>
      <c r="P28" s="28"/>
      <c r="Q28" s="28"/>
      <c r="R28" s="26"/>
    </row>
    <row r="29" spans="1:18" x14ac:dyDescent="0.2">
      <c r="A29" s="26"/>
      <c r="B29" s="26"/>
      <c r="C29" s="26"/>
      <c r="D29" s="27"/>
      <c r="E29" s="26" t="s">
        <v>338</v>
      </c>
      <c r="F29" s="28">
        <v>4</v>
      </c>
      <c r="G29" s="28"/>
      <c r="H29" s="26"/>
      <c r="I29" s="27"/>
      <c r="J29" s="26"/>
      <c r="K29" s="28"/>
      <c r="L29" s="28"/>
      <c r="M29" s="26"/>
      <c r="N29" s="27"/>
      <c r="O29" s="26"/>
      <c r="P29" s="28"/>
      <c r="Q29" s="28"/>
      <c r="R29" s="26"/>
    </row>
    <row r="30" spans="1:18" x14ac:dyDescent="0.2">
      <c r="A30" s="26"/>
      <c r="B30" s="26"/>
      <c r="C30" s="26"/>
      <c r="D30" s="27"/>
      <c r="E30" s="26" t="s">
        <v>364</v>
      </c>
      <c r="F30" s="28">
        <v>4</v>
      </c>
      <c r="G30" s="28"/>
      <c r="H30" s="26"/>
      <c r="I30" s="27"/>
      <c r="J30" s="26"/>
      <c r="K30" s="28"/>
      <c r="L30" s="28"/>
      <c r="M30" s="26"/>
      <c r="N30" s="27"/>
      <c r="O30" s="26"/>
      <c r="P30" s="28"/>
      <c r="Q30" s="28"/>
      <c r="R30" s="26"/>
    </row>
    <row r="31" spans="1:18" x14ac:dyDescent="0.2">
      <c r="A31" s="26"/>
      <c r="B31" s="26"/>
      <c r="C31" s="26"/>
      <c r="D31" s="27"/>
      <c r="E31" s="155" t="s">
        <v>367</v>
      </c>
      <c r="F31" s="28"/>
      <c r="G31" s="28"/>
      <c r="H31" s="26"/>
      <c r="I31" s="27"/>
      <c r="J31" s="26"/>
      <c r="K31" s="28"/>
      <c r="L31" s="28"/>
      <c r="M31" s="26"/>
      <c r="N31" s="27"/>
      <c r="O31" s="26"/>
      <c r="P31" s="28"/>
      <c r="Q31" s="28"/>
      <c r="R31" s="26"/>
    </row>
    <row r="32" spans="1:18" x14ac:dyDescent="0.2">
      <c r="A32" s="26"/>
      <c r="B32" s="26"/>
      <c r="C32" s="26"/>
      <c r="D32" s="27"/>
      <c r="E32" s="26" t="s">
        <v>369</v>
      </c>
      <c r="F32" s="28">
        <v>3</v>
      </c>
      <c r="G32" s="28"/>
      <c r="H32" s="26"/>
      <c r="I32" s="27"/>
      <c r="J32" s="26"/>
      <c r="K32" s="28"/>
      <c r="L32" s="28"/>
      <c r="M32" s="26"/>
      <c r="N32" s="27"/>
      <c r="O32" s="26"/>
      <c r="P32" s="28"/>
      <c r="Q32" s="28"/>
      <c r="R32" s="26"/>
    </row>
    <row r="33" spans="1:18" x14ac:dyDescent="0.2">
      <c r="A33" s="26"/>
      <c r="B33" s="26"/>
      <c r="C33" s="26"/>
      <c r="D33" s="27"/>
      <c r="E33" s="155" t="s">
        <v>368</v>
      </c>
      <c r="F33" s="28"/>
      <c r="G33" s="28"/>
      <c r="H33" s="26"/>
      <c r="I33" s="27"/>
      <c r="J33" s="26"/>
      <c r="K33" s="28"/>
      <c r="L33" s="28"/>
      <c r="M33" s="26"/>
      <c r="N33" s="27"/>
      <c r="O33" s="26"/>
      <c r="P33" s="28"/>
      <c r="Q33" s="28"/>
      <c r="R33" s="26"/>
    </row>
    <row r="34" spans="1:18" x14ac:dyDescent="0.2">
      <c r="A34" s="26"/>
      <c r="B34" s="26"/>
      <c r="C34" s="26"/>
      <c r="D34" s="27"/>
      <c r="E34" s="26" t="s">
        <v>357</v>
      </c>
      <c r="F34" s="28">
        <v>4</v>
      </c>
      <c r="G34" s="28"/>
      <c r="H34" s="26"/>
      <c r="I34" s="27"/>
      <c r="J34" s="26"/>
      <c r="K34" s="28"/>
      <c r="L34" s="28"/>
      <c r="M34" s="26"/>
      <c r="N34" s="27"/>
      <c r="O34" s="26"/>
      <c r="P34" s="28"/>
      <c r="Q34" s="28"/>
      <c r="R34" s="26"/>
    </row>
    <row r="35" spans="1:18" x14ac:dyDescent="0.2">
      <c r="A35" s="26"/>
      <c r="B35" s="26"/>
      <c r="C35" s="26"/>
      <c r="D35" s="27"/>
      <c r="E35" s="26" t="s">
        <v>358</v>
      </c>
      <c r="F35" s="28">
        <v>4</v>
      </c>
      <c r="G35" s="28"/>
      <c r="H35" s="26"/>
      <c r="I35" s="27"/>
      <c r="J35" s="26"/>
      <c r="K35" s="28"/>
      <c r="L35" s="28"/>
      <c r="M35" s="26"/>
      <c r="N35" s="27"/>
      <c r="O35" s="26"/>
      <c r="P35" s="28"/>
      <c r="Q35" s="28"/>
      <c r="R35" s="26"/>
    </row>
    <row r="36" spans="1:18" x14ac:dyDescent="0.2">
      <c r="A36" s="26"/>
      <c r="B36" s="26"/>
      <c r="C36" s="26"/>
      <c r="D36" s="27"/>
      <c r="E36" s="26" t="s">
        <v>371</v>
      </c>
      <c r="F36" s="28">
        <v>4</v>
      </c>
      <c r="G36" s="28"/>
      <c r="H36" s="26"/>
      <c r="I36" s="27"/>
      <c r="J36" s="26"/>
      <c r="K36" s="28"/>
      <c r="L36" s="28"/>
      <c r="M36" s="26"/>
      <c r="N36" s="27"/>
      <c r="O36" s="26"/>
      <c r="P36" s="28"/>
      <c r="Q36" s="28"/>
      <c r="R36" s="26"/>
    </row>
    <row r="37" spans="1:18" x14ac:dyDescent="0.2">
      <c r="A37" s="26"/>
      <c r="B37" s="26"/>
      <c r="C37" s="26"/>
      <c r="D37" s="27"/>
      <c r="E37" s="101" t="s">
        <v>370</v>
      </c>
      <c r="F37" s="28"/>
      <c r="G37" s="28"/>
      <c r="H37" s="26"/>
      <c r="I37" s="27"/>
      <c r="J37" s="26"/>
      <c r="K37" s="28"/>
      <c r="L37" s="28"/>
      <c r="M37" s="26"/>
      <c r="N37" s="27"/>
      <c r="O37" s="26"/>
      <c r="P37" s="28"/>
      <c r="Q37" s="28"/>
      <c r="R37" s="26"/>
    </row>
    <row r="38" spans="1:18" x14ac:dyDescent="0.2">
      <c r="A38" s="26"/>
      <c r="B38" s="26"/>
      <c r="C38" s="26"/>
      <c r="D38" s="27"/>
      <c r="E38" s="26" t="s">
        <v>373</v>
      </c>
      <c r="F38" s="28">
        <v>4</v>
      </c>
      <c r="G38" s="28"/>
      <c r="H38" s="26"/>
      <c r="I38" s="27"/>
      <c r="J38" s="26"/>
      <c r="K38" s="28"/>
      <c r="L38" s="28"/>
      <c r="M38" s="26"/>
      <c r="N38" s="27"/>
      <c r="O38" s="26"/>
      <c r="P38" s="28"/>
      <c r="Q38" s="28"/>
      <c r="R38" s="26"/>
    </row>
    <row r="39" spans="1:18" x14ac:dyDescent="0.2">
      <c r="A39" s="26"/>
      <c r="B39" s="26"/>
      <c r="C39" s="26"/>
      <c r="D39" s="27"/>
      <c r="E39" s="155" t="s">
        <v>372</v>
      </c>
      <c r="F39" s="28"/>
      <c r="G39" s="28"/>
      <c r="H39" s="26"/>
      <c r="I39" s="27"/>
      <c r="J39" s="26"/>
      <c r="K39" s="28"/>
      <c r="L39" s="28"/>
      <c r="M39" s="26"/>
      <c r="N39" s="27"/>
      <c r="O39" s="26"/>
      <c r="P39" s="28"/>
      <c r="Q39" s="28"/>
      <c r="R39" s="26"/>
    </row>
    <row r="40" spans="1:18" x14ac:dyDescent="0.2">
      <c r="A40" s="26"/>
      <c r="B40" s="26"/>
      <c r="C40" s="26"/>
      <c r="D40" s="27"/>
      <c r="E40" s="26" t="s">
        <v>359</v>
      </c>
      <c r="F40" s="28">
        <v>3</v>
      </c>
      <c r="G40" s="28"/>
      <c r="H40" s="26"/>
      <c r="I40" s="27"/>
      <c r="J40" s="26"/>
      <c r="K40" s="28"/>
      <c r="L40" s="28"/>
      <c r="M40" s="26"/>
      <c r="N40" s="27"/>
      <c r="O40" s="26"/>
      <c r="P40" s="28"/>
      <c r="Q40" s="28"/>
      <c r="R40" s="26"/>
    </row>
    <row r="41" spans="1:18" x14ac:dyDescent="0.2">
      <c r="A41" s="26"/>
      <c r="B41" s="26"/>
      <c r="C41" s="26"/>
      <c r="D41" s="27"/>
      <c r="E41" s="26" t="s">
        <v>360</v>
      </c>
      <c r="F41" s="28">
        <v>4</v>
      </c>
      <c r="G41" s="28"/>
      <c r="H41" s="26"/>
      <c r="I41" s="27"/>
      <c r="J41" s="26"/>
      <c r="K41" s="28"/>
      <c r="L41" s="28"/>
      <c r="M41" s="26"/>
      <c r="N41" s="27"/>
      <c r="O41" s="26"/>
      <c r="P41" s="28"/>
      <c r="Q41" s="28"/>
      <c r="R41" s="26"/>
    </row>
    <row r="42" spans="1:18" x14ac:dyDescent="0.2">
      <c r="A42" s="26"/>
      <c r="B42" s="26"/>
      <c r="C42" s="26"/>
      <c r="D42" s="27"/>
      <c r="E42" s="26" t="s">
        <v>375</v>
      </c>
      <c r="F42" s="28">
        <v>3</v>
      </c>
      <c r="G42" s="28"/>
      <c r="H42" s="26"/>
      <c r="I42" s="27"/>
      <c r="J42" s="26"/>
      <c r="K42" s="28"/>
      <c r="L42" s="28"/>
      <c r="M42" s="26"/>
      <c r="N42" s="27"/>
      <c r="O42" s="26"/>
      <c r="P42" s="28"/>
      <c r="Q42" s="28"/>
      <c r="R42" s="26"/>
    </row>
    <row r="43" spans="1:18" x14ac:dyDescent="0.2">
      <c r="A43" s="26"/>
      <c r="B43" s="26"/>
      <c r="C43" s="26"/>
      <c r="D43" s="27"/>
      <c r="E43" s="155" t="s">
        <v>374</v>
      </c>
      <c r="F43" s="28"/>
      <c r="G43" s="28"/>
      <c r="H43" s="26"/>
      <c r="I43" s="27"/>
      <c r="J43" s="26"/>
      <c r="K43" s="28"/>
      <c r="L43" s="28"/>
      <c r="M43" s="26"/>
      <c r="N43" s="27"/>
      <c r="O43" s="26"/>
      <c r="P43" s="28"/>
      <c r="Q43" s="28"/>
      <c r="R43" s="26"/>
    </row>
    <row r="44" spans="1:18" x14ac:dyDescent="0.2">
      <c r="A44" s="26"/>
      <c r="B44" s="26"/>
      <c r="C44" s="26"/>
      <c r="D44" s="27"/>
      <c r="E44" s="26" t="s">
        <v>376</v>
      </c>
      <c r="F44" s="28">
        <v>4</v>
      </c>
      <c r="G44" s="28"/>
      <c r="H44" s="26"/>
      <c r="I44" s="27"/>
      <c r="J44" s="26"/>
      <c r="K44" s="28"/>
      <c r="L44" s="28"/>
      <c r="M44" s="26"/>
      <c r="N44" s="27"/>
      <c r="O44" s="26"/>
      <c r="P44" s="28"/>
      <c r="Q44" s="28"/>
      <c r="R44" s="26"/>
    </row>
    <row r="45" spans="1:18" x14ac:dyDescent="0.2">
      <c r="A45" s="26"/>
      <c r="B45" s="26"/>
      <c r="C45" s="26"/>
      <c r="D45" s="27"/>
      <c r="E45" s="155" t="s">
        <v>377</v>
      </c>
      <c r="F45" s="28"/>
      <c r="G45" s="28"/>
      <c r="H45" s="26"/>
      <c r="I45" s="27"/>
      <c r="J45" s="26"/>
      <c r="K45" s="28"/>
      <c r="L45" s="28"/>
      <c r="M45" s="26"/>
      <c r="N45" s="27"/>
      <c r="O45" s="26"/>
      <c r="P45" s="28"/>
      <c r="Q45" s="28"/>
      <c r="R45" s="26"/>
    </row>
    <row r="46" spans="1:18" x14ac:dyDescent="0.2">
      <c r="A46" s="26"/>
      <c r="B46" s="26"/>
      <c r="C46" s="26"/>
      <c r="D46" s="27"/>
      <c r="E46" s="26" t="s">
        <v>361</v>
      </c>
      <c r="F46" s="28">
        <v>3</v>
      </c>
      <c r="G46" s="28"/>
      <c r="H46" s="26"/>
      <c r="I46" s="27"/>
      <c r="J46" s="26"/>
      <c r="K46" s="28"/>
      <c r="L46" s="28"/>
      <c r="M46" s="26"/>
      <c r="N46" s="27"/>
      <c r="O46" s="26"/>
      <c r="P46" s="28"/>
      <c r="Q46" s="28"/>
      <c r="R46" s="26"/>
    </row>
    <row r="47" spans="1:18" x14ac:dyDescent="0.2">
      <c r="A47" s="26"/>
      <c r="B47" s="26"/>
      <c r="C47" s="26"/>
      <c r="D47" s="27"/>
      <c r="E47" s="26" t="s">
        <v>362</v>
      </c>
      <c r="F47" s="28">
        <v>4</v>
      </c>
      <c r="G47" s="28"/>
      <c r="H47" s="26"/>
      <c r="I47" s="27"/>
      <c r="J47" s="26"/>
      <c r="K47" s="28"/>
      <c r="L47" s="28"/>
      <c r="M47" s="26"/>
      <c r="N47" s="27"/>
      <c r="O47" s="26"/>
      <c r="P47" s="28"/>
      <c r="Q47" s="28"/>
      <c r="R47" s="26"/>
    </row>
    <row r="48" spans="1:18" x14ac:dyDescent="0.2">
      <c r="A48" s="26"/>
      <c r="B48" s="26"/>
      <c r="C48" s="26"/>
      <c r="D48" s="27"/>
      <c r="E48" s="26" t="s">
        <v>344</v>
      </c>
      <c r="F48" s="28">
        <v>12</v>
      </c>
      <c r="G48" s="28"/>
      <c r="H48" s="26"/>
      <c r="I48" s="27"/>
      <c r="J48" s="26"/>
      <c r="K48" s="28"/>
      <c r="L48" s="28"/>
      <c r="M48" s="26"/>
      <c r="N48" s="27"/>
      <c r="O48" s="26"/>
      <c r="P48" s="28"/>
      <c r="Q48" s="28"/>
      <c r="R48" s="26"/>
    </row>
    <row r="49" spans="1:18" x14ac:dyDescent="0.2">
      <c r="A49" s="26"/>
      <c r="B49" s="26"/>
      <c r="C49" s="26"/>
      <c r="D49" s="27"/>
      <c r="E49" s="26" t="s">
        <v>346</v>
      </c>
      <c r="F49" s="28">
        <v>12</v>
      </c>
      <c r="G49" s="28"/>
      <c r="H49" s="26"/>
      <c r="I49" s="27"/>
      <c r="J49" s="26"/>
      <c r="K49" s="28"/>
      <c r="L49" s="28"/>
      <c r="M49" s="26"/>
      <c r="N49" s="27"/>
      <c r="O49" s="26"/>
      <c r="P49" s="28"/>
      <c r="Q49" s="28"/>
      <c r="R49" s="26"/>
    </row>
    <row r="50" spans="1:18" x14ac:dyDescent="0.2">
      <c r="A50" s="26"/>
      <c r="B50" s="26"/>
      <c r="C50" s="26"/>
      <c r="D50" s="27"/>
      <c r="E50" s="26" t="s">
        <v>345</v>
      </c>
      <c r="F50" s="28">
        <v>12</v>
      </c>
      <c r="G50" s="28"/>
      <c r="H50" s="26"/>
      <c r="I50" s="27"/>
      <c r="J50" s="26"/>
      <c r="K50" s="28"/>
      <c r="L50" s="28"/>
      <c r="M50" s="26"/>
      <c r="N50" s="27"/>
      <c r="O50" s="26"/>
      <c r="P50" s="28"/>
      <c r="Q50" s="28"/>
      <c r="R50" s="26"/>
    </row>
    <row r="51" spans="1:18" x14ac:dyDescent="0.2">
      <c r="A51" s="26"/>
      <c r="B51" s="26"/>
      <c r="C51" s="26"/>
      <c r="D51" s="27"/>
      <c r="E51" s="26" t="s">
        <v>347</v>
      </c>
      <c r="F51" s="28">
        <v>12</v>
      </c>
      <c r="G51" s="28"/>
      <c r="H51" s="26"/>
      <c r="I51" s="27"/>
      <c r="J51" s="26"/>
      <c r="K51" s="28"/>
      <c r="L51" s="28"/>
      <c r="M51" s="26"/>
      <c r="N51" s="27"/>
      <c r="O51" s="26"/>
      <c r="P51" s="28"/>
      <c r="Q51" s="28"/>
      <c r="R51" s="26"/>
    </row>
    <row r="52" spans="1:18" x14ac:dyDescent="0.2">
      <c r="A52" s="26"/>
      <c r="B52" s="26"/>
      <c r="C52" s="26"/>
      <c r="D52" s="27"/>
      <c r="E52" s="26"/>
      <c r="F52" s="28"/>
      <c r="G52" s="28"/>
      <c r="H52" s="26"/>
      <c r="I52" s="27"/>
      <c r="J52" s="26"/>
      <c r="K52" s="28"/>
      <c r="L52" s="28"/>
      <c r="M52" s="26"/>
      <c r="N52" s="27"/>
      <c r="O52" s="26"/>
      <c r="P52" s="28"/>
      <c r="Q52" s="28"/>
      <c r="R52" s="26"/>
    </row>
    <row r="53" spans="1:18" x14ac:dyDescent="0.2">
      <c r="A53" s="26"/>
      <c r="B53" s="26"/>
      <c r="C53" s="26"/>
      <c r="D53" s="27"/>
      <c r="E53" s="26"/>
      <c r="F53" s="28"/>
      <c r="G53" s="28"/>
      <c r="H53" s="26"/>
      <c r="I53" s="27"/>
      <c r="J53" s="26"/>
      <c r="K53" s="28"/>
      <c r="L53" s="28"/>
      <c r="M53" s="26"/>
      <c r="N53" s="27"/>
      <c r="O53" s="26"/>
      <c r="P53" s="28"/>
      <c r="Q53" s="28"/>
      <c r="R53" s="26"/>
    </row>
    <row r="54" spans="1:18" x14ac:dyDescent="0.2">
      <c r="A54" s="26"/>
      <c r="B54" s="26"/>
      <c r="C54" s="26"/>
      <c r="D54" s="27"/>
      <c r="E54" s="26"/>
      <c r="F54" s="28"/>
      <c r="G54" s="28"/>
      <c r="H54" s="26"/>
      <c r="I54" s="27"/>
      <c r="J54" s="26"/>
      <c r="K54" s="28"/>
      <c r="L54" s="28"/>
      <c r="M54" s="26"/>
      <c r="N54" s="27"/>
      <c r="O54" s="26"/>
      <c r="P54" s="28"/>
      <c r="Q54" s="28"/>
      <c r="R54" s="26"/>
    </row>
    <row r="55" spans="1:18" x14ac:dyDescent="0.2">
      <c r="A55" s="26"/>
      <c r="B55" s="26"/>
      <c r="C55" s="26"/>
      <c r="D55" s="27"/>
      <c r="E55" s="26"/>
      <c r="F55" s="28"/>
      <c r="G55" s="28"/>
      <c r="H55" s="26"/>
      <c r="I55" s="27"/>
      <c r="J55" s="26"/>
      <c r="K55" s="28"/>
      <c r="L55" s="28"/>
      <c r="M55" s="26"/>
      <c r="N55" s="27"/>
      <c r="O55" s="26"/>
      <c r="P55" s="28"/>
      <c r="Q55" s="28"/>
      <c r="R55" s="26"/>
    </row>
    <row r="56" spans="1:18" x14ac:dyDescent="0.2">
      <c r="A56" s="26"/>
      <c r="B56" s="26"/>
      <c r="C56" s="26"/>
      <c r="D56" s="27"/>
      <c r="E56" s="26"/>
      <c r="F56" s="28"/>
      <c r="G56" s="28"/>
      <c r="H56" s="26"/>
      <c r="I56" s="27"/>
      <c r="J56" s="26"/>
      <c r="K56" s="28"/>
      <c r="L56" s="28"/>
      <c r="M56" s="26"/>
      <c r="N56" s="27"/>
      <c r="O56" s="26"/>
      <c r="P56" s="28"/>
      <c r="Q56" s="28"/>
      <c r="R56" s="26"/>
    </row>
    <row r="57" spans="1:18" x14ac:dyDescent="0.2">
      <c r="A57" s="26"/>
      <c r="B57" s="26"/>
      <c r="C57" s="26"/>
      <c r="D57" s="27"/>
      <c r="E57" s="26"/>
      <c r="F57" s="28"/>
      <c r="G57" s="28"/>
      <c r="H57" s="26"/>
      <c r="I57" s="27"/>
      <c r="J57" s="26"/>
      <c r="K57" s="28"/>
      <c r="L57" s="28"/>
      <c r="M57" s="26"/>
      <c r="N57" s="27"/>
      <c r="O57" s="26"/>
      <c r="P57" s="28"/>
      <c r="Q57" s="28"/>
      <c r="R57" s="26"/>
    </row>
    <row r="58" spans="1:18" x14ac:dyDescent="0.2">
      <c r="A58" s="26"/>
      <c r="B58" s="26"/>
      <c r="C58" s="26"/>
      <c r="D58" s="27"/>
      <c r="E58" s="26"/>
      <c r="F58" s="28"/>
      <c r="G58" s="28"/>
      <c r="H58" s="26"/>
      <c r="I58" s="27"/>
      <c r="J58" s="26"/>
      <c r="K58" s="28"/>
      <c r="L58" s="28"/>
      <c r="M58" s="26"/>
      <c r="N58" s="27"/>
      <c r="O58" s="26"/>
      <c r="P58" s="28"/>
      <c r="Q58" s="28"/>
      <c r="R58" s="26"/>
    </row>
    <row r="59" spans="1:18" x14ac:dyDescent="0.2">
      <c r="A59" s="26"/>
      <c r="B59" s="26"/>
      <c r="C59" s="26"/>
      <c r="D59" s="27"/>
      <c r="E59" s="26"/>
      <c r="F59" s="28"/>
      <c r="G59" s="28"/>
      <c r="H59" s="26"/>
      <c r="I59" s="27"/>
      <c r="J59" s="26"/>
      <c r="K59" s="28"/>
      <c r="L59" s="28"/>
      <c r="M59" s="26"/>
      <c r="N59" s="27"/>
      <c r="O59" s="26"/>
      <c r="P59" s="28"/>
      <c r="Q59" s="28"/>
      <c r="R59" s="26"/>
    </row>
    <row r="60" spans="1:18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</row>
    <row r="61" spans="1:18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</row>
    <row r="62" spans="1:18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</row>
    <row r="63" spans="1:18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</row>
  </sheetData>
  <mergeCells count="8">
    <mergeCell ref="A2:A3"/>
    <mergeCell ref="D13:G13"/>
    <mergeCell ref="I13:L13"/>
    <mergeCell ref="N13:Q13"/>
    <mergeCell ref="D14:D15"/>
    <mergeCell ref="E14:E15"/>
    <mergeCell ref="I14:I15"/>
    <mergeCell ref="N14:N15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9C6ED-B3DC-4649-9CE8-F60FCCADB516}">
  <sheetPr codeName="Sheet26">
    <tabColor theme="5" tint="0.59999389629810485"/>
  </sheetPr>
  <dimension ref="A1"/>
  <sheetViews>
    <sheetView workbookViewId="0">
      <selection activeCell="D24" sqref="D24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6A06AAD0CCAC4FB7C05846D0B28B96" ma:contentTypeVersion="6" ma:contentTypeDescription="Create a new document." ma:contentTypeScope="" ma:versionID="5a86c89e31611342ebe086c6803b21fd">
  <xsd:schema xmlns:xsd="http://www.w3.org/2001/XMLSchema" xmlns:xs="http://www.w3.org/2001/XMLSchema" xmlns:p="http://schemas.microsoft.com/office/2006/metadata/properties" xmlns:ns2="a8c575d4-da37-46eb-8bd5-0a9bf2c7e2bc" xmlns:ns3="cff9c11b-c6eb-456c-a671-08ec8424de45" targetNamespace="http://schemas.microsoft.com/office/2006/metadata/properties" ma:root="true" ma:fieldsID="3edbdd3cd9bf4835559bbc60dd9a5d66" ns2:_="" ns3:_="">
    <xsd:import namespace="a8c575d4-da37-46eb-8bd5-0a9bf2c7e2bc"/>
    <xsd:import namespace="cff9c11b-c6eb-456c-a671-08ec8424de4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c575d4-da37-46eb-8bd5-0a9bf2c7e2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f9c11b-c6eb-456c-a671-08ec8424de4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AEB0D5-A07B-4E00-AE05-3A64EEA1BA53}">
  <ds:schemaRefs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a8c575d4-da37-46eb-8bd5-0a9bf2c7e2bc"/>
    <ds:schemaRef ds:uri="http://purl.org/dc/elements/1.1/"/>
    <ds:schemaRef ds:uri="http://schemas.microsoft.com/office/2006/documentManagement/types"/>
    <ds:schemaRef ds:uri="http://purl.org/dc/dcmitype/"/>
    <ds:schemaRef ds:uri="cff9c11b-c6eb-456c-a671-08ec8424de45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D9FF52D-FE91-481D-84A1-A8363ADE578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77C1860-7612-45C6-86F6-B4541F50C8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c575d4-da37-46eb-8bd5-0a9bf2c7e2bc"/>
    <ds:schemaRef ds:uri="cff9c11b-c6eb-456c-a671-08ec8424de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95965d95-ecc0-4720-b759-1f33c42ed7da}" enabled="1" method="Standard" siteId="{a0f29d7e-28cd-4f54-8442-7885aee7c080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Main</vt:lpstr>
      <vt:lpstr>Check Different Lengths</vt:lpstr>
      <vt:lpstr>Staging</vt:lpstr>
      <vt:lpstr>Unit Cell Details</vt:lpstr>
      <vt:lpstr>Summary Cases</vt:lpstr>
      <vt:lpstr>Case Times</vt:lpstr>
      <vt:lpstr>Calculations</vt:lpstr>
      <vt:lpstr>DropDown Lists</vt:lpstr>
      <vt:lpstr>Case1 Preset with AHTS</vt:lpstr>
      <vt:lpstr>Case1 Preset with MSPV</vt:lpstr>
      <vt:lpstr>Case1 Preset Hybrid</vt:lpstr>
      <vt:lpstr>Case1 Connecting with AHTS</vt:lpstr>
      <vt:lpstr>Cost Estimation</vt:lpstr>
      <vt:lpstr>Case1 Connecting with MSPV</vt:lpstr>
      <vt:lpstr>Case1 Maintenance</vt:lpstr>
      <vt:lpstr>Case2 Preset with AHTS</vt:lpstr>
      <vt:lpstr>Case2 Preset with MSPV</vt:lpstr>
      <vt:lpstr>Case2 Preset Hybrid</vt:lpstr>
      <vt:lpstr>Case2 Connecting with AHTS</vt:lpstr>
      <vt:lpstr>Case2 Connecting with MSPV</vt:lpstr>
      <vt:lpstr>Case2 Maintenance</vt:lpstr>
      <vt:lpstr>Case3 Preset with AHTS</vt:lpstr>
      <vt:lpstr>Case3 Preset with MSPV</vt:lpstr>
      <vt:lpstr>Case3 Preset Hybrid</vt:lpstr>
      <vt:lpstr>Case3 Connecting AHTS Prelay</vt:lpstr>
      <vt:lpstr>Case3 Connecting MSPV Prelay</vt:lpstr>
      <vt:lpstr>Case3 Maintenance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Billy Ballard</dc:creator>
  <cp:lastModifiedBy>Alkarem, Rudy</cp:lastModifiedBy>
  <dcterms:created xsi:type="dcterms:W3CDTF">2025-02-27T21:22:27Z</dcterms:created>
  <dcterms:modified xsi:type="dcterms:W3CDTF">2025-03-28T15:38:03Z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0x010100296A06AAD0CCAC4FB7C05846D0B28B96</vt:lpwstr>
  </property>
</Properties>
</file>